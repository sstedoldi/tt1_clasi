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t\Desktop\DataMining_UBA\4-taller-1\tt1_clasi\docs\tesis\"/>
    </mc:Choice>
  </mc:AlternateContent>
  <xr:revisionPtr revIDLastSave="0" documentId="13_ncr:1_{F3A58AA9-5092-4405-9FD0-C63477E77215}" xr6:coauthVersionLast="47" xr6:coauthVersionMax="47" xr10:uidLastSave="{00000000-0000-0000-0000-000000000000}"/>
  <bookViews>
    <workbookView xWindow="-108" yWindow="-108" windowWidth="23256" windowHeight="13896" activeTab="2" xr2:uid="{2FC6DF6E-71F4-42FD-8DB1-452686C086AF}"/>
  </bookViews>
  <sheets>
    <sheet name="doc2vec" sheetId="1" r:id="rId1"/>
    <sheet name="fasttext" sheetId="2" r:id="rId2"/>
    <sheet name="distilbert" sheetId="3" r:id="rId3"/>
    <sheet name="error" sheetId="4" r:id="rId4"/>
    <sheet name="scorin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5" i="3" l="1"/>
  <c r="M65" i="3" s="1"/>
  <c r="K65" i="3"/>
  <c r="J65" i="3"/>
  <c r="I65" i="3"/>
  <c r="H65" i="3"/>
  <c r="L64" i="3"/>
  <c r="K64" i="3"/>
  <c r="J64" i="3"/>
  <c r="I64" i="3"/>
  <c r="H64" i="3"/>
  <c r="L46" i="3"/>
  <c r="M46" i="3" s="1"/>
  <c r="K46" i="3"/>
  <c r="J46" i="3"/>
  <c r="I46" i="3"/>
  <c r="H46" i="3"/>
  <c r="L45" i="3"/>
  <c r="K45" i="3"/>
  <c r="J45" i="3"/>
  <c r="I45" i="3"/>
  <c r="H45" i="3"/>
  <c r="L28" i="3"/>
  <c r="M28" i="3" s="1"/>
  <c r="K28" i="3"/>
  <c r="J28" i="3"/>
  <c r="I28" i="3"/>
  <c r="H28" i="3"/>
  <c r="L27" i="3"/>
  <c r="K27" i="3"/>
  <c r="J27" i="3"/>
  <c r="I27" i="3"/>
  <c r="H27" i="3"/>
  <c r="I9" i="3"/>
  <c r="J9" i="3"/>
  <c r="K9" i="3"/>
  <c r="L9" i="3"/>
  <c r="H9" i="3"/>
  <c r="I10" i="3"/>
  <c r="J10" i="3"/>
  <c r="K10" i="3"/>
  <c r="L10" i="3"/>
  <c r="M10" i="3" s="1"/>
  <c r="H10" i="3"/>
  <c r="N66" i="3" l="1"/>
  <c r="N64" i="3"/>
  <c r="N29" i="3"/>
  <c r="N27" i="3"/>
  <c r="N9" i="3"/>
  <c r="N47" i="3"/>
  <c r="N45" i="3"/>
</calcChain>
</file>

<file path=xl/sharedStrings.xml><?xml version="1.0" encoding="utf-8"?>
<sst xmlns="http://schemas.openxmlformats.org/spreadsheetml/2006/main" count="381" uniqueCount="139">
  <si>
    <t>D2V_RAW</t>
  </si>
  <si>
    <t>top_1_acc</t>
  </si>
  <si>
    <t>top_2_acc</t>
  </si>
  <si>
    <t>top_3_acc</t>
  </si>
  <si>
    <t>top_4_acc</t>
  </si>
  <si>
    <t>top_5_acc</t>
  </si>
  <si>
    <t>count</t>
  </si>
  <si>
    <t>mean</t>
  </si>
  <si>
    <t>std</t>
  </si>
  <si>
    <t>min</t>
  </si>
  <si>
    <t>max</t>
  </si>
  <si>
    <t>D2V_PREPRO</t>
  </si>
  <si>
    <t>D2V_PREPRO+NGRAM</t>
  </si>
  <si>
    <t>FT_RAW</t>
  </si>
  <si>
    <t>FT_PREPRO</t>
  </si>
  <si>
    <t>FT_PREPRO+NGRAM</t>
  </si>
  <si>
    <t>train_type</t>
  </si>
  <si>
    <t>best_epoch</t>
  </si>
  <si>
    <t>best_mean_val_top5_acc</t>
  </si>
  <si>
    <t>n_runs</t>
  </si>
  <si>
    <t>FE</t>
  </si>
  <si>
    <t>FFT</t>
  </si>
  <si>
    <t>FFT11</t>
  </si>
  <si>
    <t>PFT</t>
  </si>
  <si>
    <t>Description</t>
  </si>
  <si>
    <t>True Label</t>
  </si>
  <si>
    <t>Top1</t>
  </si>
  <si>
    <t>Proba Top1</t>
  </si>
  <si>
    <t>Top2</t>
  </si>
  <si>
    <t>Proba Top2</t>
  </si>
  <si>
    <t>Top3</t>
  </si>
  <si>
    <t>Proba Top3</t>
  </si>
  <si>
    <t>Top4</t>
  </si>
  <si>
    <t>Proba Top4</t>
  </si>
  <si>
    <t>Top5</t>
  </si>
  <si>
    <t>Proba Top5</t>
  </si>
  <si>
    <t>PISTON (SPARE PARTS FOR DIESEL ALTERNATOR; 12454441)</t>
  </si>
  <si>
    <t>HANDKERCHIEF, BRAND: ROSE,MODEL: 36749</t>
  </si>
  <si>
    <t>PRESIDENT CAMEMBERT 12X145G</t>
  </si>
  <si>
    <t>USED SCANIA TIPPERS</t>
  </si>
  <si>
    <t>THERMAL PRINTER,SEIKO-PART NO.LTP01-245-11</t>
  </si>
  <si>
    <t>0403</t>
  </si>
  <si>
    <t>FGP - 48</t>
  </si>
  <si>
    <t>COLGANTE DE CUERO</t>
  </si>
  <si>
    <t>CABAS</t>
  </si>
  <si>
    <t>BUCKECTS</t>
  </si>
  <si>
    <t>SOULDER</t>
  </si>
  <si>
    <t>PERFUMES-LOVE INTETION</t>
  </si>
  <si>
    <t>BEARING 6805 ZZ BRAND KG</t>
  </si>
  <si>
    <t>USED SOFA 3SEATER</t>
  </si>
  <si>
    <t>A9060530008 VALVE CAP (MERCEDES 3029 TRUCK SPARE PARTS)</t>
  </si>
  <si>
    <t>LS MAXI DRESS-CREAM</t>
  </si>
  <si>
    <t>HP LJ pro M501dn printer:EUR - J8H61A</t>
  </si>
  <si>
    <t>CABLE 12G2.5MMQ FG16OR16 0.6-1KV</t>
  </si>
  <si>
    <t>PULLEY 2W8494</t>
  </si>
  <si>
    <t>WALL LAMP 12W 3000K IP65 OUTDOOR</t>
  </si>
  <si>
    <t>SUPER STAR BRAID LONG LABELS</t>
  </si>
  <si>
    <t>Top1 Okay</t>
  </si>
  <si>
    <t>Top1 no Okay</t>
  </si>
  <si>
    <t>sterilizing cabinet</t>
  </si>
  <si>
    <t>High voltage insulating tape</t>
  </si>
  <si>
    <t>FLAME TREATMNET MACHINE</t>
  </si>
  <si>
    <t>1538921 PIPE</t>
  </si>
  <si>
    <t>250UL FOR 1 LIQUID IN-LINE MIXER</t>
  </si>
  <si>
    <t>AV13 Air Vent, BSA1T Bellows Sealed</t>
  </si>
  <si>
    <t>BELOW 16KW COPPER BRANCH PIPE ARBLN01621</t>
  </si>
  <si>
    <t>USED IMPACT DRILL MACHINES; BRAND; WURTH</t>
  </si>
  <si>
    <t>SPACER-BEARI</t>
  </si>
  <si>
    <t>LAMP FRAME</t>
  </si>
  <si>
    <t>Error not in top5</t>
  </si>
  <si>
    <t>True Label_count_trainset</t>
  </si>
  <si>
    <t>GOODS_DESCRIPTION_len_chars_mean</t>
  </si>
  <si>
    <t>subtokenization_indicator_mean_trainset</t>
  </si>
  <si>
    <t>True Label_count_testset</t>
  </si>
  <si>
    <t>Description_len_chars_mean</t>
  </si>
  <si>
    <t>subtokenization_indicator_mean_testset</t>
  </si>
  <si>
    <t>top1_proba_mean</t>
  </si>
  <si>
    <t>pred_score_mean</t>
  </si>
  <si>
    <t>feature</t>
  </si>
  <si>
    <t>selection_pct</t>
  </si>
  <si>
    <t>10_to_0</t>
  </si>
  <si>
    <t>cosine_sim_desc_vs_top1_hs_text</t>
  </si>
  <si>
    <t>cosine_weighted_by_proba</t>
  </si>
  <si>
    <t>joint_top1_signal</t>
  </si>
  <si>
    <t>cosine_pred_mean</t>
  </si>
  <si>
    <t>prob_range</t>
  </si>
  <si>
    <t>cosine_margin_1_2</t>
  </si>
  <si>
    <t>5_to_0</t>
  </si>
  <si>
    <t>cosine_pred_std</t>
  </si>
  <si>
    <t>10_to_5</t>
  </si>
  <si>
    <t>-</t>
  </si>
  <si>
    <t>Feature selection de modelos de scoring</t>
  </si>
  <si>
    <t>model</t>
  </si>
  <si>
    <t>mae_mean</t>
  </si>
  <si>
    <t>mae_std</t>
  </si>
  <si>
    <t>rmse_mean</t>
  </si>
  <si>
    <t>rmse_std</t>
  </si>
  <si>
    <t>r2_mean</t>
  </si>
  <si>
    <t>r2_std</t>
  </si>
  <si>
    <t>score_10</t>
  </si>
  <si>
    <t>RandomForest</t>
  </si>
  <si>
    <t>XGBoost</t>
  </si>
  <si>
    <t>HistGradientBoosting</t>
  </si>
  <si>
    <t>score_5</t>
  </si>
  <si>
    <t>CV scoring metrics</t>
  </si>
  <si>
    <t>Metric</t>
  </si>
  <si>
    <t>7.5</t>
  </si>
  <si>
    <t>3.5</t>
  </si>
  <si>
    <t>pred threshold</t>
  </si>
  <si>
    <t>threshold utility score</t>
  </si>
  <si>
    <t>coverage pct mean</t>
  </si>
  <si>
    <t>precision good pct mean</t>
  </si>
  <si>
    <t>precision lift vs baseline pp mean</t>
  </si>
  <si>
    <t>good case recall pct mean</t>
  </si>
  <si>
    <t>bad case filter pct mean</t>
  </si>
  <si>
    <t>Scoring operative metric</t>
  </si>
  <si>
    <t>DBERT_fe_GOODS_DESCRIPTION_HS04_seed31187689</t>
  </si>
  <si>
    <t>DBERT_fe_GOODS_DESCRIPTION_HS04_seed491185480</t>
  </si>
  <si>
    <t>DBERT_fe_GOODS_DESCRIPTION_HS04_seed737166323</t>
  </si>
  <si>
    <t>DBERT_fe_GOODS_DESCRIPTION_HS04_seed95156473</t>
  </si>
  <si>
    <t>DBERT_fe_GOODS_DESCRIPTION_HS04_seed954562093</t>
  </si>
  <si>
    <t>DBERT_fe_GOODS_DESCRIPTION_HS04</t>
  </si>
  <si>
    <t>DBERT_pft_GOODS_DESCRIPTION_HS04_seed140871553</t>
  </si>
  <si>
    <t>DBERT_pft_GOODS_DESCRIPTION_HS04_seed320099395</t>
  </si>
  <si>
    <t>DBERT_pft_GOODS_DESCRIPTION_HS04_seed420029892</t>
  </si>
  <si>
    <t>DBERT_pft_GOODS_DESCRIPTION_HS04_seed550264748</t>
  </si>
  <si>
    <t>DBERT_pft_GOODS_DESCRIPTION_HS04_seed748447230</t>
  </si>
  <si>
    <t>DBERT_pft_GOODS_DESCRIPTION_HS04</t>
  </si>
  <si>
    <t>DBERT_fft_GOODS_DESCRIPTION_HS04_seed189334375</t>
  </si>
  <si>
    <t>DBERT_fft_GOODS_DESCRIPTION_HS04_seed371945249</t>
  </si>
  <si>
    <t>DBERT_fft_GOODS_DESCRIPTION_HS04_seed447461326</t>
  </si>
  <si>
    <t>DBERT_fft_GOODS_DESCRIPTION_HS04_seed550941617</t>
  </si>
  <si>
    <t>DBERT_fft_GOODS_DESCRIPTION_HS04_seed721389304</t>
  </si>
  <si>
    <t>DBERT_fft_GOODS_DESCRIPTION_HS04</t>
  </si>
  <si>
    <t>DBERT_fft_GOODS_DESCRIPTION_HS04_seed125430804</t>
  </si>
  <si>
    <t>DBERT_fft_GOODS_DESCRIPTION_HS04_seed131345983</t>
  </si>
  <si>
    <t>DBERT_fft_GOODS_DESCRIPTION_HS04_seed691504352</t>
  </si>
  <si>
    <t>DBERT_fft_GOODS_DESCRIPTION_HS04_seed724791594</t>
  </si>
  <si>
    <t>DBERT_fft_GOODS_DESCRIPTION_HS04_seed742268813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</si>
</sst>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0"/>
    <numFmt numFmtId="166" formatCode="#,##0.0"/>
    <numFmt numFmtId="167" formatCode="#,##0.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164" fontId="0" fillId="0" borderId="0" xfId="1" applyNumberFormat="1" applyFont="1"/>
    <xf numFmtId="164" fontId="2" fillId="0" borderId="0" xfId="0" applyNumberFormat="1" applyFont="1"/>
    <xf numFmtId="1" fontId="0" fillId="0" borderId="0" xfId="0" applyNumberFormat="1"/>
    <xf numFmtId="165" fontId="0" fillId="0" borderId="0" xfId="0" applyNumberFormat="1"/>
    <xf numFmtId="49" fontId="0" fillId="0" borderId="0" xfId="0" applyNumberFormat="1"/>
    <xf numFmtId="49" fontId="0" fillId="0" borderId="0" xfId="0" quotePrefix="1" applyNumberFormat="1"/>
    <xf numFmtId="0" fontId="0" fillId="0" borderId="0" xfId="0" applyAlignment="1">
      <alignment horizontal="center"/>
    </xf>
    <xf numFmtId="0" fontId="2" fillId="0" borderId="0" xfId="0" applyFon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0" applyNumberFormat="1"/>
    <xf numFmtId="4" fontId="0" fillId="0" borderId="0" xfId="0" applyNumberFormat="1"/>
    <xf numFmtId="167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AD399-6E85-403F-9A61-15DEBBD968E0}">
  <dimension ref="A1:T22"/>
  <sheetViews>
    <sheetView workbookViewId="0">
      <selection activeCell="O14" sqref="O14"/>
    </sheetView>
  </sheetViews>
  <sheetFormatPr baseColWidth="10" defaultRowHeight="14.4" x14ac:dyDescent="0.3"/>
  <sheetData>
    <row r="1" spans="1:20" x14ac:dyDescent="0.3">
      <c r="A1" t="s">
        <v>0</v>
      </c>
      <c r="H1" t="s">
        <v>11</v>
      </c>
      <c r="O1" t="s">
        <v>12</v>
      </c>
    </row>
    <row r="2" spans="1:2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O2" t="s">
        <v>1</v>
      </c>
      <c r="P2" t="s">
        <v>2</v>
      </c>
      <c r="Q2" t="s">
        <v>3</v>
      </c>
      <c r="R2" t="s">
        <v>4</v>
      </c>
      <c r="S2" t="s">
        <v>5</v>
      </c>
    </row>
    <row r="3" spans="1:20" x14ac:dyDescent="0.3">
      <c r="A3" s="1">
        <v>0.51908299999999996</v>
      </c>
      <c r="B3" s="2">
        <v>0.61333899999999997</v>
      </c>
      <c r="C3" s="2">
        <v>0.65479100000000001</v>
      </c>
      <c r="D3" s="2">
        <v>0.68212700000000004</v>
      </c>
      <c r="E3" s="2">
        <v>0.70079899999999995</v>
      </c>
      <c r="F3" s="1"/>
      <c r="H3" s="1">
        <v>0.48360599999999998</v>
      </c>
      <c r="I3" s="1">
        <v>0.56434399999999996</v>
      </c>
      <c r="J3" s="1">
        <v>0.60400299999999996</v>
      </c>
      <c r="K3" s="1">
        <v>0.62872499999999998</v>
      </c>
      <c r="L3" s="1">
        <v>0.64874200000000004</v>
      </c>
      <c r="O3">
        <v>0.62125600000000003</v>
      </c>
      <c r="P3">
        <v>0.695496</v>
      </c>
      <c r="Q3">
        <v>0.72380299999999997</v>
      </c>
      <c r="R3">
        <v>0.73971200000000004</v>
      </c>
      <c r="S3">
        <v>0.751139</v>
      </c>
    </row>
    <row r="4" spans="1:20" x14ac:dyDescent="0.3">
      <c r="A4" s="1">
        <v>0.51422800000000002</v>
      </c>
      <c r="B4" s="2">
        <v>0.60482499999999995</v>
      </c>
      <c r="C4" s="2">
        <v>0.649563</v>
      </c>
      <c r="D4" s="2">
        <v>0.67839300000000002</v>
      </c>
      <c r="E4" s="2">
        <v>0.697662</v>
      </c>
      <c r="F4" s="1"/>
      <c r="H4" s="1">
        <v>0.47748200000000002</v>
      </c>
      <c r="I4" s="1">
        <v>0.55911599999999995</v>
      </c>
      <c r="J4" s="1">
        <v>0.59690799999999999</v>
      </c>
      <c r="K4" s="1">
        <v>0.62439299999999998</v>
      </c>
      <c r="L4" s="1">
        <v>0.64269200000000004</v>
      </c>
      <c r="O4">
        <v>0.60953000000000002</v>
      </c>
      <c r="P4">
        <v>0.68459199999999998</v>
      </c>
      <c r="Q4">
        <v>0.71349600000000002</v>
      </c>
      <c r="R4">
        <v>0.72858299999999998</v>
      </c>
      <c r="S4">
        <v>0.74165400000000004</v>
      </c>
    </row>
    <row r="5" spans="1:20" x14ac:dyDescent="0.3">
      <c r="A5" s="1">
        <v>0.51303299999999996</v>
      </c>
      <c r="B5" s="2">
        <v>0.60594499999999996</v>
      </c>
      <c r="C5" s="2">
        <v>0.64792000000000005</v>
      </c>
      <c r="D5" s="2">
        <v>0.67570399999999997</v>
      </c>
      <c r="E5" s="2">
        <v>0.69467500000000004</v>
      </c>
      <c r="F5" s="1"/>
      <c r="H5" s="1">
        <v>0.47740700000000003</v>
      </c>
      <c r="I5" s="1">
        <v>0.558145</v>
      </c>
      <c r="J5" s="1">
        <v>0.59892400000000001</v>
      </c>
      <c r="K5" s="1">
        <v>0.62446800000000002</v>
      </c>
      <c r="L5" s="1">
        <v>0.64224400000000004</v>
      </c>
      <c r="O5">
        <v>0.60923099999999997</v>
      </c>
      <c r="P5">
        <v>0.68645900000000004</v>
      </c>
      <c r="Q5">
        <v>0.71536299999999997</v>
      </c>
      <c r="R5">
        <v>0.73216800000000004</v>
      </c>
      <c r="S5">
        <v>0.74389400000000006</v>
      </c>
    </row>
    <row r="6" spans="1:20" x14ac:dyDescent="0.3">
      <c r="A6" s="1">
        <v>0.51064299999999996</v>
      </c>
      <c r="B6" s="2">
        <v>0.60460100000000006</v>
      </c>
      <c r="C6" s="2">
        <v>0.65023500000000001</v>
      </c>
      <c r="D6" s="2">
        <v>0.67749599999999999</v>
      </c>
      <c r="E6" s="2">
        <v>0.69542199999999998</v>
      </c>
      <c r="F6" s="1"/>
      <c r="H6" s="1">
        <v>0.46971400000000002</v>
      </c>
      <c r="I6" s="1">
        <v>0.55194600000000005</v>
      </c>
      <c r="J6" s="1">
        <v>0.59250100000000006</v>
      </c>
      <c r="K6" s="1">
        <v>0.61752200000000002</v>
      </c>
      <c r="L6" s="1">
        <v>0.63656699999999999</v>
      </c>
      <c r="O6">
        <v>0.60691600000000001</v>
      </c>
      <c r="P6">
        <v>0.68937199999999998</v>
      </c>
      <c r="Q6">
        <v>0.71872400000000003</v>
      </c>
      <c r="R6">
        <v>0.73627600000000004</v>
      </c>
      <c r="S6">
        <v>0.74695599999999995</v>
      </c>
    </row>
    <row r="7" spans="1:20" x14ac:dyDescent="0.3">
      <c r="A7" s="1">
        <v>0.51012000000000002</v>
      </c>
      <c r="B7" s="2">
        <v>0.60026900000000005</v>
      </c>
      <c r="C7" s="2">
        <v>0.64620200000000005</v>
      </c>
      <c r="D7" s="2">
        <v>0.67107300000000003</v>
      </c>
      <c r="E7" s="2">
        <v>0.68944700000000003</v>
      </c>
      <c r="F7" s="1"/>
      <c r="H7" s="1">
        <v>0.47068500000000002</v>
      </c>
      <c r="I7" s="1">
        <v>0.55321500000000001</v>
      </c>
      <c r="J7" s="1">
        <v>0.59601199999999999</v>
      </c>
      <c r="K7" s="1">
        <v>0.61968800000000002</v>
      </c>
      <c r="L7" s="1">
        <v>0.63768800000000003</v>
      </c>
      <c r="O7">
        <v>0.595862</v>
      </c>
      <c r="P7">
        <v>0.67391100000000004</v>
      </c>
      <c r="Q7">
        <v>0.70804400000000001</v>
      </c>
      <c r="R7">
        <v>0.72634299999999996</v>
      </c>
      <c r="S7">
        <v>0.73926400000000003</v>
      </c>
    </row>
    <row r="8" spans="1:20" x14ac:dyDescent="0.3">
      <c r="A8" s="1">
        <v>0.51437699999999997</v>
      </c>
      <c r="B8" s="2">
        <v>0.602136</v>
      </c>
      <c r="C8" s="2">
        <v>0.64560499999999998</v>
      </c>
      <c r="D8" s="2">
        <v>0.67383700000000002</v>
      </c>
      <c r="E8" s="2">
        <v>0.692658</v>
      </c>
      <c r="F8" s="1"/>
      <c r="H8" s="1">
        <v>0.47397099999999998</v>
      </c>
      <c r="I8" s="1">
        <v>0.55926500000000001</v>
      </c>
      <c r="J8" s="1">
        <v>0.59877499999999995</v>
      </c>
      <c r="K8" s="1">
        <v>0.62446800000000002</v>
      </c>
      <c r="L8" s="1">
        <v>0.64433499999999999</v>
      </c>
      <c r="O8">
        <v>0.61057600000000001</v>
      </c>
      <c r="P8">
        <v>0.68981999999999999</v>
      </c>
      <c r="Q8">
        <v>0.71715600000000002</v>
      </c>
      <c r="R8">
        <v>0.73306400000000005</v>
      </c>
      <c r="S8">
        <v>0.74546299999999999</v>
      </c>
    </row>
    <row r="9" spans="1:20" x14ac:dyDescent="0.3">
      <c r="A9" s="1">
        <v>0.50145600000000001</v>
      </c>
      <c r="B9" s="2">
        <v>0.59235199999999999</v>
      </c>
      <c r="C9" s="2">
        <v>0.64172099999999999</v>
      </c>
      <c r="D9" s="2">
        <v>0.66696500000000003</v>
      </c>
      <c r="E9" s="2">
        <v>0.68765399999999999</v>
      </c>
      <c r="F9" s="1"/>
      <c r="H9" s="1">
        <v>0.46366400000000002</v>
      </c>
      <c r="I9" s="1">
        <v>0.54395400000000005</v>
      </c>
      <c r="J9" s="1">
        <v>0.58615300000000004</v>
      </c>
      <c r="K9" s="1">
        <v>0.61259200000000003</v>
      </c>
      <c r="L9" s="1">
        <v>0.63051800000000002</v>
      </c>
      <c r="O9">
        <v>0.59810300000000005</v>
      </c>
      <c r="P9">
        <v>0.67600300000000002</v>
      </c>
      <c r="Q9">
        <v>0.70707299999999995</v>
      </c>
      <c r="R9">
        <v>0.72387800000000002</v>
      </c>
      <c r="S9">
        <v>0.73515600000000003</v>
      </c>
    </row>
    <row r="10" spans="1:20" x14ac:dyDescent="0.3">
      <c r="A10" s="1">
        <v>0.51191299999999995</v>
      </c>
      <c r="B10" s="2">
        <v>0.60572099999999995</v>
      </c>
      <c r="C10" s="2">
        <v>0.64747200000000005</v>
      </c>
      <c r="D10" s="2">
        <v>0.67256700000000003</v>
      </c>
      <c r="E10" s="2">
        <v>0.68974500000000005</v>
      </c>
      <c r="F10" s="1"/>
      <c r="H10" s="1">
        <v>0.47359800000000002</v>
      </c>
      <c r="I10" s="1">
        <v>0.55694999999999995</v>
      </c>
      <c r="J10" s="1">
        <v>0.593696</v>
      </c>
      <c r="K10" s="1">
        <v>0.61916499999999997</v>
      </c>
      <c r="L10" s="1">
        <v>0.63761299999999999</v>
      </c>
      <c r="O10">
        <v>0.61207</v>
      </c>
      <c r="P10">
        <v>0.68593599999999999</v>
      </c>
      <c r="Q10">
        <v>0.71543800000000002</v>
      </c>
      <c r="R10">
        <v>0.73224299999999998</v>
      </c>
      <c r="S10">
        <v>0.74232600000000004</v>
      </c>
    </row>
    <row r="11" spans="1:20" x14ac:dyDescent="0.3">
      <c r="A11" s="1">
        <v>0.51512400000000003</v>
      </c>
      <c r="B11" s="2">
        <v>0.609456</v>
      </c>
      <c r="C11" s="2">
        <v>0.65202800000000005</v>
      </c>
      <c r="D11" s="2">
        <v>0.67824300000000004</v>
      </c>
      <c r="E11" s="2">
        <v>0.6946</v>
      </c>
      <c r="F11" s="1"/>
      <c r="H11" s="1">
        <v>0.47934900000000003</v>
      </c>
      <c r="I11" s="1">
        <v>0.56255100000000002</v>
      </c>
      <c r="J11" s="1">
        <v>0.60124</v>
      </c>
      <c r="K11" s="1">
        <v>0.62842600000000004</v>
      </c>
      <c r="L11" s="1">
        <v>0.64538099999999998</v>
      </c>
      <c r="O11">
        <v>0.61289099999999996</v>
      </c>
      <c r="P11">
        <v>0.68541300000000005</v>
      </c>
      <c r="Q11">
        <v>0.71663299999999996</v>
      </c>
      <c r="R11">
        <v>0.73388600000000004</v>
      </c>
      <c r="S11">
        <v>0.74494000000000005</v>
      </c>
    </row>
    <row r="12" spans="1:20" x14ac:dyDescent="0.3">
      <c r="A12" s="1">
        <v>0.51034400000000002</v>
      </c>
      <c r="B12" s="2">
        <v>0.60489999999999999</v>
      </c>
      <c r="C12" s="2">
        <v>0.65001100000000001</v>
      </c>
      <c r="D12" s="2">
        <v>0.67555500000000002</v>
      </c>
      <c r="E12" s="2">
        <v>0.69452499999999995</v>
      </c>
      <c r="F12" s="1"/>
      <c r="H12" s="1">
        <v>0.47509099999999999</v>
      </c>
      <c r="I12" s="1">
        <v>0.558369</v>
      </c>
      <c r="J12" s="1">
        <v>0.60011999999999999</v>
      </c>
      <c r="K12" s="1">
        <v>0.62588699999999997</v>
      </c>
      <c r="L12" s="1">
        <v>0.64358800000000005</v>
      </c>
      <c r="O12">
        <v>0.60788699999999996</v>
      </c>
      <c r="P12">
        <v>0.68055900000000003</v>
      </c>
      <c r="Q12">
        <v>0.71297299999999997</v>
      </c>
      <c r="R12">
        <v>0.72865800000000003</v>
      </c>
      <c r="S12">
        <v>0.74000999999999995</v>
      </c>
    </row>
    <row r="13" spans="1:20" x14ac:dyDescent="0.3">
      <c r="A13" s="1"/>
      <c r="B13" s="1"/>
      <c r="C13" s="1"/>
      <c r="D13" s="1"/>
      <c r="E13" s="1"/>
      <c r="F13" s="1"/>
    </row>
    <row r="14" spans="1:20" x14ac:dyDescent="0.3">
      <c r="A14" s="1"/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H14" s="1"/>
      <c r="I14" s="1" t="s">
        <v>1</v>
      </c>
      <c r="J14" s="1" t="s">
        <v>2</v>
      </c>
      <c r="K14" s="1" t="s">
        <v>3</v>
      </c>
      <c r="L14" s="1" t="s">
        <v>4</v>
      </c>
      <c r="M14" s="1" t="s">
        <v>5</v>
      </c>
      <c r="O14" s="1"/>
      <c r="P14" s="1" t="s">
        <v>1</v>
      </c>
      <c r="Q14" s="1" t="s">
        <v>2</v>
      </c>
      <c r="R14" s="1" t="s">
        <v>3</v>
      </c>
      <c r="S14" s="1" t="s">
        <v>4</v>
      </c>
      <c r="T14" s="1" t="s">
        <v>5</v>
      </c>
    </row>
    <row r="15" spans="1:20" x14ac:dyDescent="0.3">
      <c r="A15" s="1" t="s">
        <v>6</v>
      </c>
      <c r="B15" s="4">
        <v>10</v>
      </c>
      <c r="C15" s="4">
        <v>10</v>
      </c>
      <c r="D15" s="4">
        <v>10</v>
      </c>
      <c r="E15" s="4">
        <v>10</v>
      </c>
      <c r="F15" s="4">
        <v>10</v>
      </c>
      <c r="H15" s="1" t="s">
        <v>6</v>
      </c>
      <c r="I15" s="4">
        <v>10</v>
      </c>
      <c r="J15" s="4">
        <v>10</v>
      </c>
      <c r="K15" s="4">
        <v>10</v>
      </c>
      <c r="L15" s="4">
        <v>10</v>
      </c>
      <c r="M15" s="4">
        <v>10</v>
      </c>
      <c r="O15" s="1" t="s">
        <v>6</v>
      </c>
      <c r="P15" s="4">
        <v>10</v>
      </c>
      <c r="Q15" s="4">
        <v>10</v>
      </c>
      <c r="R15" s="4">
        <v>10</v>
      </c>
      <c r="S15" s="4">
        <v>10</v>
      </c>
      <c r="T15" s="4">
        <v>10</v>
      </c>
    </row>
    <row r="16" spans="1:20" x14ac:dyDescent="0.3">
      <c r="A16" s="3" t="s">
        <v>7</v>
      </c>
      <c r="B16" s="3">
        <v>0.51203200000000004</v>
      </c>
      <c r="C16" s="3">
        <v>0.60435399999999995</v>
      </c>
      <c r="D16" s="3">
        <v>0.64855499999999999</v>
      </c>
      <c r="E16" s="3">
        <v>0.67519600000000002</v>
      </c>
      <c r="F16" s="3">
        <v>0.69371899999999997</v>
      </c>
      <c r="H16" s="3" t="s">
        <v>7</v>
      </c>
      <c r="I16" s="3">
        <v>0.47445700000000002</v>
      </c>
      <c r="J16" s="3">
        <v>0.55678499999999997</v>
      </c>
      <c r="K16" s="3">
        <v>0.59683299999999995</v>
      </c>
      <c r="L16" s="3">
        <v>0.622533</v>
      </c>
      <c r="M16" s="3">
        <v>0.64093699999999998</v>
      </c>
      <c r="O16" s="3" t="s">
        <v>7</v>
      </c>
      <c r="P16" s="3">
        <v>0.60843199999999997</v>
      </c>
      <c r="Q16" s="3">
        <v>0.68475600000000003</v>
      </c>
      <c r="R16" s="3">
        <v>0.71487000000000001</v>
      </c>
      <c r="S16" s="3">
        <v>0.73148100000000005</v>
      </c>
      <c r="T16" s="3">
        <v>0.74307999999999996</v>
      </c>
    </row>
    <row r="17" spans="1:20" x14ac:dyDescent="0.3">
      <c r="A17" s="3" t="s">
        <v>8</v>
      </c>
      <c r="B17" s="3">
        <v>4.6059999999999999E-3</v>
      </c>
      <c r="C17" s="3">
        <v>5.5519999999999996E-3</v>
      </c>
      <c r="D17" s="3">
        <v>3.643E-3</v>
      </c>
      <c r="E17" s="3">
        <v>4.3039999999999997E-3</v>
      </c>
      <c r="F17" s="3">
        <v>3.9839999999999997E-3</v>
      </c>
      <c r="H17" s="3" t="s">
        <v>8</v>
      </c>
      <c r="I17" s="3">
        <v>5.5789999999999998E-3</v>
      </c>
      <c r="J17" s="3">
        <v>5.842E-3</v>
      </c>
      <c r="K17" s="3">
        <v>5.0899999999999999E-3</v>
      </c>
      <c r="L17" s="3">
        <v>5.1489999999999999E-3</v>
      </c>
      <c r="M17" s="3">
        <v>5.3049999999999998E-3</v>
      </c>
      <c r="O17" s="3" t="s">
        <v>8</v>
      </c>
      <c r="P17" s="3">
        <v>7.2360000000000002E-3</v>
      </c>
      <c r="Q17" s="3">
        <v>6.4879999999999998E-3</v>
      </c>
      <c r="R17" s="3">
        <v>4.9040000000000004E-3</v>
      </c>
      <c r="S17" s="3">
        <v>4.7219999999999996E-3</v>
      </c>
      <c r="T17" s="3">
        <v>4.4619999999999998E-3</v>
      </c>
    </row>
    <row r="18" spans="1:20" x14ac:dyDescent="0.3">
      <c r="A18" s="1" t="s">
        <v>9</v>
      </c>
      <c r="B18" s="1">
        <v>0.50145600000000001</v>
      </c>
      <c r="C18" s="1">
        <v>0.59235199999999999</v>
      </c>
      <c r="D18" s="1">
        <v>0.64172099999999999</v>
      </c>
      <c r="E18" s="1">
        <v>0.66696500000000003</v>
      </c>
      <c r="F18" s="1">
        <v>0.68765399999999999</v>
      </c>
      <c r="H18" s="1" t="s">
        <v>9</v>
      </c>
      <c r="I18" s="1">
        <v>0.46366400000000002</v>
      </c>
      <c r="J18" s="1">
        <v>0.54395400000000005</v>
      </c>
      <c r="K18" s="1">
        <v>0.58615300000000004</v>
      </c>
      <c r="L18" s="1">
        <v>0.61259200000000003</v>
      </c>
      <c r="M18" s="1">
        <v>0.63051800000000002</v>
      </c>
      <c r="O18" s="1" t="s">
        <v>9</v>
      </c>
      <c r="P18" s="1">
        <v>0.595862</v>
      </c>
      <c r="Q18" s="1">
        <v>0.67391100000000004</v>
      </c>
      <c r="R18" s="1">
        <v>0.70707299999999995</v>
      </c>
      <c r="S18" s="1">
        <v>0.72387800000000002</v>
      </c>
      <c r="T18" s="1">
        <v>0.73515600000000003</v>
      </c>
    </row>
    <row r="19" spans="1:20" x14ac:dyDescent="0.3">
      <c r="A19" s="1">
        <v>0.25</v>
      </c>
      <c r="B19" s="1">
        <v>0.51041899999999996</v>
      </c>
      <c r="C19" s="1">
        <v>0.60275199999999995</v>
      </c>
      <c r="D19" s="1">
        <v>0.64651999999999998</v>
      </c>
      <c r="E19" s="1">
        <v>0.67288400000000004</v>
      </c>
      <c r="F19" s="1">
        <v>0.690473</v>
      </c>
      <c r="H19" s="1">
        <v>0.25</v>
      </c>
      <c r="I19" s="1">
        <v>0.47141300000000003</v>
      </c>
      <c r="J19" s="1">
        <v>0.554149</v>
      </c>
      <c r="K19" s="1">
        <v>0.594275</v>
      </c>
      <c r="L19" s="1">
        <v>0.61929599999999996</v>
      </c>
      <c r="M19" s="1">
        <v>0.63763199999999998</v>
      </c>
      <c r="O19" s="1">
        <v>0.25</v>
      </c>
      <c r="P19" s="1">
        <v>0.607159</v>
      </c>
      <c r="Q19" s="1">
        <v>0.68156700000000003</v>
      </c>
      <c r="R19" s="1">
        <v>0.71310399999999996</v>
      </c>
      <c r="S19" s="1">
        <v>0.72860199999999997</v>
      </c>
      <c r="T19" s="1">
        <v>0.740421</v>
      </c>
    </row>
    <row r="20" spans="1:20" x14ac:dyDescent="0.3">
      <c r="A20" s="3">
        <v>0.5</v>
      </c>
      <c r="B20" s="3">
        <v>0.51247299999999996</v>
      </c>
      <c r="C20" s="3">
        <v>0.60486200000000001</v>
      </c>
      <c r="D20" s="3">
        <v>0.64874200000000004</v>
      </c>
      <c r="E20" s="3">
        <v>0.67562900000000004</v>
      </c>
      <c r="F20" s="3">
        <v>0.69456200000000001</v>
      </c>
      <c r="H20" s="3">
        <v>0.5</v>
      </c>
      <c r="I20" s="3">
        <v>0.47453099999999998</v>
      </c>
      <c r="J20" s="3">
        <v>0.558257</v>
      </c>
      <c r="K20" s="3">
        <v>0.59784099999999996</v>
      </c>
      <c r="L20" s="3">
        <v>0.62443000000000004</v>
      </c>
      <c r="M20" s="3">
        <v>0.64246800000000004</v>
      </c>
      <c r="O20" s="3">
        <v>0.5</v>
      </c>
      <c r="P20" s="3">
        <v>0.60938000000000003</v>
      </c>
      <c r="Q20" s="3">
        <v>0.68567400000000001</v>
      </c>
      <c r="R20" s="3">
        <v>0.71540000000000004</v>
      </c>
      <c r="S20" s="3">
        <v>0.73220600000000002</v>
      </c>
      <c r="T20" s="3">
        <v>0.74311000000000005</v>
      </c>
    </row>
    <row r="21" spans="1:20" x14ac:dyDescent="0.3">
      <c r="A21" s="1">
        <v>0.75</v>
      </c>
      <c r="B21" s="1">
        <v>0.51434000000000002</v>
      </c>
      <c r="C21" s="1">
        <v>0.60588900000000001</v>
      </c>
      <c r="D21" s="1">
        <v>0.65017899999999995</v>
      </c>
      <c r="E21" s="1">
        <v>0.67805599999999999</v>
      </c>
      <c r="F21" s="1">
        <v>0.69523500000000005</v>
      </c>
      <c r="H21" s="1">
        <v>0.75</v>
      </c>
      <c r="I21" s="1">
        <v>0.47746300000000003</v>
      </c>
      <c r="J21" s="1">
        <v>0.55922799999999995</v>
      </c>
      <c r="K21" s="1">
        <v>0.59982100000000005</v>
      </c>
      <c r="L21" s="1">
        <v>0.62553199999999998</v>
      </c>
      <c r="M21" s="1">
        <v>0.64414800000000005</v>
      </c>
      <c r="O21" s="1">
        <v>0.75</v>
      </c>
      <c r="P21" s="1">
        <v>0.61169600000000002</v>
      </c>
      <c r="Q21" s="1">
        <v>0.68864400000000003</v>
      </c>
      <c r="R21" s="1">
        <v>0.71702500000000002</v>
      </c>
      <c r="S21" s="1">
        <v>0.73368100000000003</v>
      </c>
      <c r="T21" s="1">
        <v>0.74533199999999999</v>
      </c>
    </row>
    <row r="22" spans="1:20" x14ac:dyDescent="0.3">
      <c r="A22" s="1" t="s">
        <v>10</v>
      </c>
      <c r="B22" s="1">
        <v>0.51908299999999996</v>
      </c>
      <c r="C22" s="1">
        <v>0.61333899999999997</v>
      </c>
      <c r="D22" s="1">
        <v>0.65479100000000001</v>
      </c>
      <c r="E22" s="1">
        <v>0.68212700000000004</v>
      </c>
      <c r="F22" s="1">
        <v>0.70079899999999995</v>
      </c>
      <c r="H22" s="1" t="s">
        <v>10</v>
      </c>
      <c r="I22" s="1">
        <v>0.48360599999999998</v>
      </c>
      <c r="J22" s="1">
        <v>0.56434399999999996</v>
      </c>
      <c r="K22" s="1">
        <v>0.60400299999999996</v>
      </c>
      <c r="L22" s="1">
        <v>0.62872499999999998</v>
      </c>
      <c r="M22" s="1">
        <v>0.64874200000000004</v>
      </c>
      <c r="O22" s="1" t="s">
        <v>10</v>
      </c>
      <c r="P22" s="1">
        <v>0.62125600000000003</v>
      </c>
      <c r="Q22" s="1">
        <v>0.695496</v>
      </c>
      <c r="R22" s="1">
        <v>0.72380299999999997</v>
      </c>
      <c r="S22" s="1">
        <v>0.73971200000000004</v>
      </c>
      <c r="T22" s="1">
        <v>0.751139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1762C-DDAA-475B-914B-D63C35100E93}">
  <dimension ref="A1:T22"/>
  <sheetViews>
    <sheetView topLeftCell="D1" workbookViewId="0">
      <selection activeCell="Q29" sqref="Q29"/>
    </sheetView>
  </sheetViews>
  <sheetFormatPr baseColWidth="10" defaultRowHeight="14.4" x14ac:dyDescent="0.3"/>
  <sheetData>
    <row r="1" spans="1:20" x14ac:dyDescent="0.3">
      <c r="A1" t="s">
        <v>13</v>
      </c>
      <c r="H1" t="s">
        <v>14</v>
      </c>
      <c r="O1" t="s">
        <v>15</v>
      </c>
    </row>
    <row r="2" spans="1:2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O2" t="s">
        <v>1</v>
      </c>
      <c r="P2" t="s">
        <v>2</v>
      </c>
      <c r="Q2" t="s">
        <v>3</v>
      </c>
      <c r="R2" t="s">
        <v>4</v>
      </c>
      <c r="S2" t="s">
        <v>5</v>
      </c>
    </row>
    <row r="3" spans="1:20" x14ac:dyDescent="0.3">
      <c r="A3" s="1">
        <v>0.547987</v>
      </c>
      <c r="B3" s="2">
        <v>0.67264199999999996</v>
      </c>
      <c r="C3" s="2">
        <v>0.73052499999999998</v>
      </c>
      <c r="D3" s="2">
        <v>0.76308900000000002</v>
      </c>
      <c r="E3" s="2">
        <v>0.78459900000000005</v>
      </c>
      <c r="F3" s="1"/>
      <c r="H3" s="1">
        <v>0.58637700000000004</v>
      </c>
      <c r="I3" s="1">
        <v>0.71506499999999995</v>
      </c>
      <c r="J3" s="1">
        <v>0.77145399999999997</v>
      </c>
      <c r="K3" s="1">
        <v>0.80409299999999995</v>
      </c>
      <c r="L3" s="1">
        <v>0.82791800000000004</v>
      </c>
      <c r="O3">
        <v>0.58338900000000005</v>
      </c>
      <c r="P3">
        <v>0.71349600000000002</v>
      </c>
      <c r="Q3">
        <v>0.77010999999999996</v>
      </c>
      <c r="R3">
        <v>0.80349499999999996</v>
      </c>
      <c r="S3">
        <v>0.82620099999999996</v>
      </c>
    </row>
    <row r="4" spans="1:20" x14ac:dyDescent="0.3">
      <c r="A4" s="1">
        <v>0.53514099999999998</v>
      </c>
      <c r="B4" s="2">
        <v>0.65904799999999997</v>
      </c>
      <c r="C4" s="2">
        <v>0.71745499999999995</v>
      </c>
      <c r="D4" s="2">
        <v>0.75196099999999999</v>
      </c>
      <c r="E4" s="2">
        <v>0.77556199999999997</v>
      </c>
      <c r="F4" s="1"/>
      <c r="H4" s="1">
        <v>0.57592100000000002</v>
      </c>
      <c r="I4" s="1">
        <v>0.702816</v>
      </c>
      <c r="J4" s="1">
        <v>0.76264100000000001</v>
      </c>
      <c r="K4" s="1">
        <v>0.79625100000000004</v>
      </c>
      <c r="L4" s="1">
        <v>0.81910499999999997</v>
      </c>
      <c r="O4">
        <v>0.58294100000000004</v>
      </c>
      <c r="P4">
        <v>0.704982</v>
      </c>
      <c r="Q4">
        <v>0.76062399999999997</v>
      </c>
      <c r="R4">
        <v>0.794234</v>
      </c>
      <c r="S4">
        <v>0.81791000000000003</v>
      </c>
    </row>
    <row r="5" spans="1:20" x14ac:dyDescent="0.3">
      <c r="A5" s="1">
        <v>0.53992099999999998</v>
      </c>
      <c r="B5" s="2">
        <v>0.66345500000000002</v>
      </c>
      <c r="C5" s="2">
        <v>0.71917200000000003</v>
      </c>
      <c r="D5" s="2">
        <v>0.75532200000000005</v>
      </c>
      <c r="E5" s="2">
        <v>0.77914700000000003</v>
      </c>
      <c r="F5" s="1"/>
      <c r="H5" s="1">
        <v>0.57651799999999997</v>
      </c>
      <c r="I5" s="1">
        <v>0.70729699999999995</v>
      </c>
      <c r="J5" s="1">
        <v>0.76749599999999996</v>
      </c>
      <c r="K5" s="1">
        <v>0.800284</v>
      </c>
      <c r="L5" s="1">
        <v>0.82149499999999998</v>
      </c>
      <c r="O5">
        <v>0.58144700000000005</v>
      </c>
      <c r="P5">
        <v>0.70699800000000002</v>
      </c>
      <c r="Q5">
        <v>0.76473199999999997</v>
      </c>
      <c r="R5">
        <v>0.79759500000000005</v>
      </c>
      <c r="S5">
        <v>0.81806000000000001</v>
      </c>
    </row>
    <row r="6" spans="1:20" x14ac:dyDescent="0.3">
      <c r="A6" s="1">
        <v>0.53327400000000003</v>
      </c>
      <c r="B6" s="2">
        <v>0.65934700000000002</v>
      </c>
      <c r="C6" s="2">
        <v>0.71752899999999997</v>
      </c>
      <c r="D6" s="2">
        <v>0.75487300000000002</v>
      </c>
      <c r="E6" s="2">
        <v>0.77862399999999998</v>
      </c>
      <c r="F6" s="1"/>
      <c r="H6" s="1">
        <v>0.57614500000000002</v>
      </c>
      <c r="I6" s="1">
        <v>0.70647499999999996</v>
      </c>
      <c r="J6" s="1">
        <v>0.76405999999999996</v>
      </c>
      <c r="K6" s="1">
        <v>0.80005999999999999</v>
      </c>
      <c r="L6" s="1">
        <v>0.82209299999999996</v>
      </c>
      <c r="O6">
        <v>0.57733999999999996</v>
      </c>
      <c r="P6">
        <v>0.70401100000000005</v>
      </c>
      <c r="Q6">
        <v>0.76331300000000002</v>
      </c>
      <c r="R6">
        <v>0.79811799999999999</v>
      </c>
      <c r="S6">
        <v>0.82037499999999997</v>
      </c>
    </row>
    <row r="7" spans="1:20" x14ac:dyDescent="0.3">
      <c r="A7" s="1">
        <v>0.53402000000000005</v>
      </c>
      <c r="B7" s="2">
        <v>0.65673300000000001</v>
      </c>
      <c r="C7" s="2">
        <v>0.71752899999999997</v>
      </c>
      <c r="D7" s="2">
        <v>0.75121400000000005</v>
      </c>
      <c r="E7" s="2">
        <v>0.77309700000000003</v>
      </c>
      <c r="F7" s="1"/>
      <c r="H7" s="1">
        <v>0.56845199999999996</v>
      </c>
      <c r="I7" s="1">
        <v>0.70050000000000001</v>
      </c>
      <c r="J7" s="1">
        <v>0.75808500000000001</v>
      </c>
      <c r="K7" s="1">
        <v>0.79072399999999998</v>
      </c>
      <c r="L7" s="1">
        <v>0.81567000000000001</v>
      </c>
      <c r="O7">
        <v>0.57143900000000003</v>
      </c>
      <c r="P7">
        <v>0.70012700000000005</v>
      </c>
      <c r="Q7">
        <v>0.76002700000000001</v>
      </c>
      <c r="R7">
        <v>0.794906</v>
      </c>
      <c r="S7">
        <v>0.81746200000000002</v>
      </c>
    </row>
    <row r="8" spans="1:20" x14ac:dyDescent="0.3">
      <c r="A8" s="1">
        <v>0.53820299999999999</v>
      </c>
      <c r="B8" s="2">
        <v>0.66330599999999995</v>
      </c>
      <c r="C8" s="2">
        <v>0.71805200000000002</v>
      </c>
      <c r="D8" s="2">
        <v>0.75218499999999999</v>
      </c>
      <c r="E8" s="2">
        <v>0.77705599999999997</v>
      </c>
      <c r="F8" s="1"/>
      <c r="H8" s="1">
        <v>0.58129799999999998</v>
      </c>
      <c r="I8" s="1">
        <v>0.709538</v>
      </c>
      <c r="J8" s="1">
        <v>0.76196900000000001</v>
      </c>
      <c r="K8" s="1">
        <v>0.79692300000000005</v>
      </c>
      <c r="L8" s="1">
        <v>0.81828400000000001</v>
      </c>
      <c r="O8">
        <v>0.58361300000000005</v>
      </c>
      <c r="P8">
        <v>0.70640099999999995</v>
      </c>
      <c r="Q8">
        <v>0.761521</v>
      </c>
      <c r="R8">
        <v>0.796848</v>
      </c>
      <c r="S8">
        <v>0.82127099999999997</v>
      </c>
    </row>
    <row r="9" spans="1:20" x14ac:dyDescent="0.3">
      <c r="A9" s="1">
        <v>0.53357200000000005</v>
      </c>
      <c r="B9" s="2">
        <v>0.659497</v>
      </c>
      <c r="C9" s="2">
        <v>0.71626000000000001</v>
      </c>
      <c r="D9" s="2">
        <v>0.75031700000000001</v>
      </c>
      <c r="E9" s="2">
        <v>0.77578599999999998</v>
      </c>
      <c r="F9" s="1"/>
      <c r="H9" s="1">
        <v>0.57479999999999998</v>
      </c>
      <c r="I9" s="1">
        <v>0.70296499999999995</v>
      </c>
      <c r="J9" s="1">
        <v>0.76010200000000006</v>
      </c>
      <c r="K9" s="1">
        <v>0.79453300000000004</v>
      </c>
      <c r="L9" s="1">
        <v>0.81693899999999997</v>
      </c>
      <c r="O9">
        <v>0.57345599999999997</v>
      </c>
      <c r="P9">
        <v>0.70042599999999999</v>
      </c>
      <c r="Q9">
        <v>0.75950399999999996</v>
      </c>
      <c r="R9">
        <v>0.79184399999999999</v>
      </c>
      <c r="S9">
        <v>0.81462400000000001</v>
      </c>
    </row>
    <row r="10" spans="1:20" x14ac:dyDescent="0.3">
      <c r="A10" s="1">
        <v>0.53073400000000004</v>
      </c>
      <c r="B10" s="2">
        <v>0.65643399999999996</v>
      </c>
      <c r="C10" s="2">
        <v>0.71177800000000002</v>
      </c>
      <c r="D10" s="2">
        <v>0.74882400000000005</v>
      </c>
      <c r="E10" s="2">
        <v>0.77369500000000002</v>
      </c>
      <c r="F10" s="1"/>
      <c r="H10" s="1">
        <v>0.56919900000000001</v>
      </c>
      <c r="I10" s="1">
        <v>0.69982800000000001</v>
      </c>
      <c r="J10" s="1">
        <v>0.758683</v>
      </c>
      <c r="K10" s="1">
        <v>0.79460799999999998</v>
      </c>
      <c r="L10" s="1">
        <v>0.81664099999999995</v>
      </c>
      <c r="O10">
        <v>0.57151399999999997</v>
      </c>
      <c r="P10">
        <v>0.69885699999999995</v>
      </c>
      <c r="Q10">
        <v>0.75629199999999996</v>
      </c>
      <c r="R10">
        <v>0.79124700000000003</v>
      </c>
      <c r="S10">
        <v>0.81671499999999997</v>
      </c>
    </row>
    <row r="11" spans="1:20" x14ac:dyDescent="0.3">
      <c r="A11" s="1">
        <v>0.53783000000000003</v>
      </c>
      <c r="B11" s="2">
        <v>0.66412700000000002</v>
      </c>
      <c r="C11" s="2">
        <v>0.72208499999999998</v>
      </c>
      <c r="D11" s="2">
        <v>0.75367799999999996</v>
      </c>
      <c r="E11" s="2">
        <v>0.77675700000000003</v>
      </c>
      <c r="F11" s="1"/>
      <c r="H11" s="1">
        <v>0.57718999999999998</v>
      </c>
      <c r="I11" s="1">
        <v>0.70595300000000005</v>
      </c>
      <c r="J11" s="1">
        <v>0.76712199999999997</v>
      </c>
      <c r="K11" s="1">
        <v>0.80207600000000001</v>
      </c>
      <c r="L11" s="1">
        <v>0.82388499999999998</v>
      </c>
      <c r="O11">
        <v>0.57808599999999999</v>
      </c>
      <c r="P11">
        <v>0.71050899999999995</v>
      </c>
      <c r="Q11">
        <v>0.76756999999999997</v>
      </c>
      <c r="R11">
        <v>0.79991000000000001</v>
      </c>
      <c r="S11">
        <v>0.82448299999999997</v>
      </c>
    </row>
    <row r="12" spans="1:20" x14ac:dyDescent="0.3">
      <c r="A12" s="1">
        <v>0.53924899999999998</v>
      </c>
      <c r="B12" s="2">
        <v>0.659945</v>
      </c>
      <c r="C12" s="2">
        <v>0.71723099999999995</v>
      </c>
      <c r="D12" s="2">
        <v>0.75569500000000001</v>
      </c>
      <c r="E12" s="2">
        <v>0.77839999999999998</v>
      </c>
      <c r="F12" s="1"/>
      <c r="H12" s="1">
        <v>0.57972999999999997</v>
      </c>
      <c r="I12" s="1">
        <v>0.70543</v>
      </c>
      <c r="J12" s="1">
        <v>0.76503100000000002</v>
      </c>
      <c r="K12" s="1">
        <v>0.80005999999999999</v>
      </c>
      <c r="L12" s="1">
        <v>0.82284000000000002</v>
      </c>
      <c r="O12">
        <v>0.58114900000000003</v>
      </c>
      <c r="P12">
        <v>0.70602699999999996</v>
      </c>
      <c r="Q12">
        <v>0.76391100000000001</v>
      </c>
      <c r="R12">
        <v>0.79647500000000004</v>
      </c>
      <c r="S12">
        <v>0.81970299999999996</v>
      </c>
    </row>
    <row r="13" spans="1:20" x14ac:dyDescent="0.3">
      <c r="A13" s="1"/>
      <c r="B13" s="1"/>
      <c r="C13" s="1"/>
      <c r="D13" s="1"/>
      <c r="E13" s="1"/>
      <c r="F13" s="1"/>
    </row>
    <row r="14" spans="1:20" x14ac:dyDescent="0.3">
      <c r="A14" s="1"/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H14" s="1"/>
      <c r="I14" s="1" t="s">
        <v>1</v>
      </c>
      <c r="J14" s="1" t="s">
        <v>2</v>
      </c>
      <c r="K14" s="1" t="s">
        <v>3</v>
      </c>
      <c r="L14" s="1" t="s">
        <v>4</v>
      </c>
      <c r="M14" s="1" t="s">
        <v>5</v>
      </c>
      <c r="O14" s="1"/>
      <c r="P14" s="1" t="s">
        <v>1</v>
      </c>
      <c r="Q14" s="1" t="s">
        <v>2</v>
      </c>
      <c r="R14" s="1" t="s">
        <v>3</v>
      </c>
      <c r="S14" s="1" t="s">
        <v>4</v>
      </c>
      <c r="T14" s="1" t="s">
        <v>5</v>
      </c>
    </row>
    <row r="15" spans="1:20" x14ac:dyDescent="0.3">
      <c r="A15" s="1" t="s">
        <v>6</v>
      </c>
      <c r="B15" s="4">
        <v>10</v>
      </c>
      <c r="C15" s="4">
        <v>10</v>
      </c>
      <c r="D15" s="4">
        <v>10</v>
      </c>
      <c r="E15" s="4">
        <v>10</v>
      </c>
      <c r="F15" s="4">
        <v>10</v>
      </c>
      <c r="H15" s="1" t="s">
        <v>6</v>
      </c>
      <c r="I15" s="4">
        <v>10</v>
      </c>
      <c r="J15" s="4">
        <v>10</v>
      </c>
      <c r="K15" s="4">
        <v>10</v>
      </c>
      <c r="L15" s="4">
        <v>10</v>
      </c>
      <c r="M15" s="4">
        <v>10</v>
      </c>
      <c r="O15" s="1" t="s">
        <v>6</v>
      </c>
      <c r="P15" s="4">
        <v>10</v>
      </c>
      <c r="Q15" s="4">
        <v>10</v>
      </c>
      <c r="R15" s="4">
        <v>10</v>
      </c>
      <c r="S15" s="4">
        <v>10</v>
      </c>
      <c r="T15" s="4">
        <v>10</v>
      </c>
    </row>
    <row r="16" spans="1:20" x14ac:dyDescent="0.3">
      <c r="A16" s="3" t="s">
        <v>7</v>
      </c>
      <c r="B16" s="3">
        <v>0.53699300000000005</v>
      </c>
      <c r="C16" s="3">
        <v>0.66145299999999996</v>
      </c>
      <c r="D16" s="3">
        <v>0.71876200000000001</v>
      </c>
      <c r="E16" s="3">
        <v>0.75371600000000005</v>
      </c>
      <c r="F16" s="3">
        <v>0.77727199999999996</v>
      </c>
      <c r="H16" s="3" t="s">
        <v>7</v>
      </c>
      <c r="I16" s="3">
        <v>0.57656300000000005</v>
      </c>
      <c r="J16" s="3">
        <v>0.70558699999999996</v>
      </c>
      <c r="K16" s="3">
        <v>0.76366400000000001</v>
      </c>
      <c r="L16" s="3">
        <v>0.79796100000000003</v>
      </c>
      <c r="M16" s="3">
        <v>0.82048699999999997</v>
      </c>
      <c r="O16" s="3" t="s">
        <v>7</v>
      </c>
      <c r="P16" s="3">
        <v>0.57843699999999998</v>
      </c>
      <c r="Q16" s="3">
        <v>0.705183</v>
      </c>
      <c r="R16" s="3">
        <v>0.76275999999999999</v>
      </c>
      <c r="S16" s="3">
        <v>0.79646700000000004</v>
      </c>
      <c r="T16" s="3">
        <v>0.81967999999999996</v>
      </c>
    </row>
    <row r="17" spans="1:20" x14ac:dyDescent="0.3">
      <c r="A17" s="3" t="s">
        <v>8</v>
      </c>
      <c r="B17" s="3">
        <v>4.8729999999999997E-3</v>
      </c>
      <c r="C17" s="3">
        <v>4.7559999999999998E-3</v>
      </c>
      <c r="D17" s="3">
        <v>4.8560000000000001E-3</v>
      </c>
      <c r="E17" s="3">
        <v>3.9839999999999997E-3</v>
      </c>
      <c r="F17" s="3">
        <v>3.2650000000000001E-3</v>
      </c>
      <c r="H17" s="3" t="s">
        <v>8</v>
      </c>
      <c r="I17" s="3">
        <v>5.3010000000000002E-3</v>
      </c>
      <c r="J17" s="3">
        <v>4.5079999999999999E-3</v>
      </c>
      <c r="K17" s="3">
        <v>4.241E-3</v>
      </c>
      <c r="L17" s="3">
        <v>4.0569999999999998E-3</v>
      </c>
      <c r="M17" s="3">
        <v>3.8479999999999999E-3</v>
      </c>
      <c r="O17" s="3" t="s">
        <v>8</v>
      </c>
      <c r="P17" s="3">
        <v>4.8430000000000001E-3</v>
      </c>
      <c r="Q17" s="3">
        <v>4.6259999999999999E-3</v>
      </c>
      <c r="R17" s="3">
        <v>4.065E-3</v>
      </c>
      <c r="S17" s="3">
        <v>3.673E-3</v>
      </c>
      <c r="T17" s="3">
        <v>3.5530000000000002E-3</v>
      </c>
    </row>
    <row r="18" spans="1:20" x14ac:dyDescent="0.3">
      <c r="A18" s="1" t="s">
        <v>9</v>
      </c>
      <c r="B18" s="1">
        <v>0.53073400000000004</v>
      </c>
      <c r="C18" s="1">
        <v>0.65643399999999996</v>
      </c>
      <c r="D18" s="1">
        <v>0.71177800000000002</v>
      </c>
      <c r="E18" s="1">
        <v>0.74882400000000005</v>
      </c>
      <c r="F18" s="1">
        <v>0.77309700000000003</v>
      </c>
      <c r="H18" s="1" t="s">
        <v>9</v>
      </c>
      <c r="I18" s="1">
        <v>0.56845199999999996</v>
      </c>
      <c r="J18" s="1">
        <v>0.69982800000000001</v>
      </c>
      <c r="K18" s="1">
        <v>0.75808500000000001</v>
      </c>
      <c r="L18" s="1">
        <v>0.79072399999999998</v>
      </c>
      <c r="M18" s="1">
        <v>0.81567000000000001</v>
      </c>
      <c r="O18" s="1" t="s">
        <v>9</v>
      </c>
      <c r="P18" s="1">
        <v>0.57143900000000003</v>
      </c>
      <c r="Q18" s="1">
        <v>0.69885699999999995</v>
      </c>
      <c r="R18" s="1">
        <v>0.75629199999999996</v>
      </c>
      <c r="S18" s="1">
        <v>0.79124700000000003</v>
      </c>
      <c r="T18" s="1">
        <v>0.81462400000000001</v>
      </c>
    </row>
    <row r="19" spans="1:20" x14ac:dyDescent="0.3">
      <c r="A19" s="1">
        <v>0.25</v>
      </c>
      <c r="B19" s="1">
        <v>0.53368400000000005</v>
      </c>
      <c r="C19" s="1">
        <v>0.65912300000000001</v>
      </c>
      <c r="D19" s="1">
        <v>0.71728700000000001</v>
      </c>
      <c r="E19" s="1">
        <v>0.75140099999999999</v>
      </c>
      <c r="F19" s="1">
        <v>0.77561800000000003</v>
      </c>
      <c r="H19" s="1">
        <v>0.25</v>
      </c>
      <c r="I19" s="1">
        <v>0.57508000000000004</v>
      </c>
      <c r="J19" s="1">
        <v>0.70285299999999995</v>
      </c>
      <c r="K19" s="1">
        <v>0.76056900000000005</v>
      </c>
      <c r="L19" s="1">
        <v>0.79501900000000003</v>
      </c>
      <c r="M19" s="1">
        <v>0.81727499999999997</v>
      </c>
      <c r="O19" s="1">
        <v>0.25</v>
      </c>
      <c r="P19" s="1">
        <v>0.57442700000000002</v>
      </c>
      <c r="Q19" s="1">
        <v>0.701322</v>
      </c>
      <c r="R19" s="1">
        <v>0.76017599999999996</v>
      </c>
      <c r="S19" s="1">
        <v>0.79440200000000005</v>
      </c>
      <c r="T19" s="1">
        <v>0.81757400000000002</v>
      </c>
    </row>
    <row r="20" spans="1:20" x14ac:dyDescent="0.3">
      <c r="A20" s="3">
        <v>0.5</v>
      </c>
      <c r="B20" s="3">
        <v>0.53648499999999999</v>
      </c>
      <c r="C20" s="3">
        <v>0.659721</v>
      </c>
      <c r="D20" s="3">
        <v>0.71752899999999997</v>
      </c>
      <c r="E20" s="3">
        <v>0.75293100000000002</v>
      </c>
      <c r="F20" s="3">
        <v>0.77690599999999999</v>
      </c>
      <c r="H20" s="3">
        <v>0.5</v>
      </c>
      <c r="I20" s="3">
        <v>0.57633100000000004</v>
      </c>
      <c r="J20" s="3">
        <v>0.70569199999999999</v>
      </c>
      <c r="K20" s="3">
        <v>0.763351</v>
      </c>
      <c r="L20" s="3">
        <v>0.79849199999999998</v>
      </c>
      <c r="M20" s="3">
        <v>0.82030000000000003</v>
      </c>
      <c r="O20" s="3">
        <v>0.5</v>
      </c>
      <c r="P20" s="3">
        <v>0.57961799999999997</v>
      </c>
      <c r="Q20" s="3">
        <v>0.70550400000000002</v>
      </c>
      <c r="R20" s="3">
        <v>0.76241700000000001</v>
      </c>
      <c r="S20" s="3">
        <v>0.79666199999999998</v>
      </c>
      <c r="T20" s="3">
        <v>0.818882</v>
      </c>
    </row>
    <row r="21" spans="1:20" x14ac:dyDescent="0.3">
      <c r="A21" s="1">
        <v>0.75</v>
      </c>
      <c r="B21" s="1">
        <v>0.53898699999999999</v>
      </c>
      <c r="C21" s="1">
        <v>0.66341799999999995</v>
      </c>
      <c r="D21" s="1">
        <v>0.71889199999999998</v>
      </c>
      <c r="E21" s="1">
        <v>0.75521000000000005</v>
      </c>
      <c r="F21" s="1">
        <v>0.77856800000000004</v>
      </c>
      <c r="H21" s="1">
        <v>0.75</v>
      </c>
      <c r="I21" s="1">
        <v>0.57909500000000003</v>
      </c>
      <c r="J21" s="1">
        <v>0.70709100000000003</v>
      </c>
      <c r="K21" s="1">
        <v>0.76659900000000003</v>
      </c>
      <c r="L21" s="1">
        <v>0.80022800000000005</v>
      </c>
      <c r="M21" s="1">
        <v>0.82265299999999997</v>
      </c>
      <c r="O21" s="1">
        <v>0.75</v>
      </c>
      <c r="P21" s="1">
        <v>0.58256799999999997</v>
      </c>
      <c r="Q21" s="1">
        <v>0.70684899999999995</v>
      </c>
      <c r="R21" s="1">
        <v>0.76452699999999996</v>
      </c>
      <c r="S21" s="1">
        <v>0.797987</v>
      </c>
      <c r="T21" s="1">
        <v>0.82104699999999997</v>
      </c>
    </row>
    <row r="22" spans="1:20" x14ac:dyDescent="0.3">
      <c r="A22" s="1" t="s">
        <v>10</v>
      </c>
      <c r="B22" s="1">
        <v>0.547987</v>
      </c>
      <c r="C22" s="1">
        <v>0.67264199999999996</v>
      </c>
      <c r="D22" s="1">
        <v>0.73052499999999998</v>
      </c>
      <c r="E22" s="1">
        <v>0.76308900000000002</v>
      </c>
      <c r="F22" s="1">
        <v>0.78459900000000005</v>
      </c>
      <c r="H22" s="1" t="s">
        <v>10</v>
      </c>
      <c r="I22" s="1">
        <v>0.58637700000000004</v>
      </c>
      <c r="J22" s="1">
        <v>0.71506499999999995</v>
      </c>
      <c r="K22" s="1">
        <v>0.77145399999999997</v>
      </c>
      <c r="L22" s="1">
        <v>0.80409299999999995</v>
      </c>
      <c r="M22" s="1">
        <v>0.82791800000000004</v>
      </c>
      <c r="O22" s="1" t="s">
        <v>10</v>
      </c>
      <c r="P22" s="1">
        <v>0.58361300000000005</v>
      </c>
      <c r="Q22" s="1">
        <v>0.71349600000000002</v>
      </c>
      <c r="R22" s="1">
        <v>0.77010999999999996</v>
      </c>
      <c r="S22" s="1">
        <v>0.80349499999999996</v>
      </c>
      <c r="T22" s="1">
        <v>0.82620099999999996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03F42-C502-40B2-8F65-31C39677162D}">
  <dimension ref="A1:N72"/>
  <sheetViews>
    <sheetView tabSelected="1" topLeftCell="D40" workbookViewId="0">
      <selection activeCell="K53" sqref="K53"/>
    </sheetView>
  </sheetViews>
  <sheetFormatPr baseColWidth="10" defaultRowHeight="14.4" x14ac:dyDescent="0.3"/>
  <cols>
    <col min="7" max="7" width="47.109375" bestFit="1" customWidth="1"/>
    <col min="8" max="12" width="18.6640625" bestFit="1" customWidth="1"/>
  </cols>
  <sheetData>
    <row r="1" spans="1:14" x14ac:dyDescent="0.3">
      <c r="B1" t="s">
        <v>16</v>
      </c>
      <c r="C1" t="s">
        <v>17</v>
      </c>
      <c r="D1" t="s">
        <v>18</v>
      </c>
      <c r="E1" t="s">
        <v>19</v>
      </c>
    </row>
    <row r="2" spans="1:14" x14ac:dyDescent="0.3">
      <c r="A2">
        <v>0</v>
      </c>
      <c r="B2" t="s">
        <v>20</v>
      </c>
      <c r="C2">
        <v>20</v>
      </c>
      <c r="D2" s="1">
        <v>0.73654500000000001</v>
      </c>
      <c r="E2">
        <v>5</v>
      </c>
      <c r="G2" t="s">
        <v>92</v>
      </c>
      <c r="H2" t="s">
        <v>1</v>
      </c>
      <c r="I2" t="s">
        <v>2</v>
      </c>
      <c r="J2" t="s">
        <v>3</v>
      </c>
      <c r="K2" t="s">
        <v>4</v>
      </c>
      <c r="L2" t="s">
        <v>5</v>
      </c>
    </row>
    <row r="3" spans="1:14" x14ac:dyDescent="0.3">
      <c r="A3">
        <v>1</v>
      </c>
      <c r="B3" t="s">
        <v>21</v>
      </c>
      <c r="C3">
        <v>5</v>
      </c>
      <c r="D3" s="1">
        <v>0.84185500000000002</v>
      </c>
      <c r="E3">
        <v>5</v>
      </c>
      <c r="G3" t="s">
        <v>116</v>
      </c>
      <c r="H3" s="1">
        <v>0.52386287250728203</v>
      </c>
      <c r="I3" s="1">
        <v>0.62543879303906103</v>
      </c>
      <c r="J3" s="1">
        <v>0.67630144148181304</v>
      </c>
      <c r="K3" s="1">
        <v>0.71058331466128899</v>
      </c>
      <c r="L3" s="1">
        <v>0.73635073567854203</v>
      </c>
    </row>
    <row r="4" spans="1:14" x14ac:dyDescent="0.3">
      <c r="A4">
        <v>2</v>
      </c>
      <c r="B4" t="s">
        <v>22</v>
      </c>
      <c r="C4">
        <v>5</v>
      </c>
      <c r="D4" s="1">
        <v>0.84058600000000006</v>
      </c>
      <c r="E4">
        <v>5</v>
      </c>
      <c r="G4" t="s">
        <v>117</v>
      </c>
      <c r="H4" s="1">
        <v>0.52565538875196005</v>
      </c>
      <c r="I4" s="1">
        <v>0.62984539547389595</v>
      </c>
      <c r="J4" s="1">
        <v>0.67981178579430801</v>
      </c>
      <c r="K4" s="1">
        <v>0.70923892747777995</v>
      </c>
      <c r="L4" s="1">
        <v>0.7325416386586</v>
      </c>
    </row>
    <row r="5" spans="1:14" x14ac:dyDescent="0.3">
      <c r="A5">
        <v>3</v>
      </c>
      <c r="B5" t="s">
        <v>23</v>
      </c>
      <c r="C5">
        <v>7</v>
      </c>
      <c r="D5" s="1">
        <v>0.83464000000000005</v>
      </c>
      <c r="E5">
        <v>5</v>
      </c>
      <c r="G5" t="s">
        <v>118</v>
      </c>
      <c r="H5" s="1">
        <v>0.52640227052057598</v>
      </c>
      <c r="I5" s="1">
        <v>0.62745537381432503</v>
      </c>
      <c r="J5" s="1">
        <v>0.678616774964523</v>
      </c>
      <c r="K5" s="1">
        <v>0.71013518560011901</v>
      </c>
      <c r="L5" s="1">
        <v>0.73523041302561798</v>
      </c>
    </row>
    <row r="6" spans="1:14" x14ac:dyDescent="0.3">
      <c r="G6" t="s">
        <v>119</v>
      </c>
      <c r="H6" s="1">
        <v>0.52341474344611205</v>
      </c>
      <c r="I6" s="1">
        <v>0.62431847038613697</v>
      </c>
      <c r="J6" s="1">
        <v>0.67316453805362597</v>
      </c>
      <c r="K6" s="1">
        <v>0.70871611023974901</v>
      </c>
      <c r="L6" s="1">
        <v>0.73366196131152395</v>
      </c>
    </row>
    <row r="7" spans="1:14" x14ac:dyDescent="0.3">
      <c r="G7" t="s">
        <v>120</v>
      </c>
      <c r="H7" s="1">
        <v>0.534095152737321</v>
      </c>
      <c r="I7" s="1">
        <v>0.63589513779968598</v>
      </c>
      <c r="J7" s="1">
        <v>0.68862499066397698</v>
      </c>
      <c r="K7" s="1">
        <v>0.72320561655089999</v>
      </c>
      <c r="L7" s="1">
        <v>0.74747927403092096</v>
      </c>
    </row>
    <row r="8" spans="1:14" x14ac:dyDescent="0.3">
      <c r="H8" t="s">
        <v>1</v>
      </c>
      <c r="I8" t="s">
        <v>2</v>
      </c>
      <c r="J8" t="s">
        <v>3</v>
      </c>
      <c r="K8" t="s">
        <v>4</v>
      </c>
      <c r="L8" t="s">
        <v>5</v>
      </c>
    </row>
    <row r="9" spans="1:14" x14ac:dyDescent="0.3">
      <c r="G9" s="12" t="s">
        <v>121</v>
      </c>
      <c r="H9" s="1">
        <f>+AVERAGE(H3:H7)</f>
        <v>0.52668608559265029</v>
      </c>
      <c r="I9" s="1">
        <f>+AVERAGE(I3:I7)</f>
        <v>0.62859063410262095</v>
      </c>
      <c r="J9" s="1">
        <f>+AVERAGE(J3:J7)</f>
        <v>0.67930390619164949</v>
      </c>
      <c r="K9" s="1">
        <f>+AVERAGE(K3:K7)</f>
        <v>0.71237583090596746</v>
      </c>
      <c r="L9" s="1">
        <f>+AVERAGE(L3:L7)</f>
        <v>0.73705280454104094</v>
      </c>
      <c r="N9" s="1">
        <f>+L9+M10</f>
        <v>0.75507614646723287</v>
      </c>
    </row>
    <row r="10" spans="1:14" x14ac:dyDescent="0.3">
      <c r="G10" s="12"/>
      <c r="H10" s="1">
        <f>+_xlfn.STDEV.S(H3:H7)</f>
        <v>4.3217292398962347E-3</v>
      </c>
      <c r="I10" s="1">
        <f>+_xlfn.STDEV.S(I3:I7)</f>
        <v>4.5935961182892206E-3</v>
      </c>
      <c r="J10" s="1">
        <f>+_xlfn.STDEV.S(J3:J7)</f>
        <v>5.7948110888609902E-3</v>
      </c>
      <c r="K10" s="1">
        <f>+_xlfn.STDEV.S(K3:K7)</f>
        <v>6.0981878755447623E-3</v>
      </c>
      <c r="L10" s="1">
        <f>+_xlfn.STDEV.S(L3:L7)</f>
        <v>6.0077806420639921E-3</v>
      </c>
      <c r="M10">
        <f>+L10*3</f>
        <v>1.8023341926191976E-2</v>
      </c>
    </row>
    <row r="12" spans="1:14" x14ac:dyDescent="0.3">
      <c r="H12" t="s">
        <v>20</v>
      </c>
      <c r="I12" t="s">
        <v>7</v>
      </c>
      <c r="J12" t="s">
        <v>8</v>
      </c>
    </row>
    <row r="13" spans="1:14" x14ac:dyDescent="0.3">
      <c r="H13" t="s">
        <v>1</v>
      </c>
      <c r="I13" s="1">
        <v>0.52668608559265029</v>
      </c>
      <c r="J13" s="1">
        <v>4.3217292398962347E-3</v>
      </c>
    </row>
    <row r="14" spans="1:14" x14ac:dyDescent="0.3">
      <c r="H14" t="s">
        <v>2</v>
      </c>
      <c r="I14" s="1">
        <v>0.62859063410262095</v>
      </c>
      <c r="J14" s="1">
        <v>4.5935961182892206E-3</v>
      </c>
    </row>
    <row r="15" spans="1:14" x14ac:dyDescent="0.3">
      <c r="H15" t="s">
        <v>3</v>
      </c>
      <c r="I15" s="1">
        <v>0.67930390619164949</v>
      </c>
      <c r="J15" s="1">
        <v>5.7948110888609902E-3</v>
      </c>
    </row>
    <row r="16" spans="1:14" x14ac:dyDescent="0.3">
      <c r="H16" t="s">
        <v>4</v>
      </c>
      <c r="I16" s="1">
        <v>0.71237583090596746</v>
      </c>
      <c r="J16" s="1">
        <v>6.0981878755447623E-3</v>
      </c>
    </row>
    <row r="17" spans="7:14" x14ac:dyDescent="0.3">
      <c r="H17" t="s">
        <v>5</v>
      </c>
      <c r="I17" s="1">
        <v>0.73705280454104094</v>
      </c>
      <c r="J17" s="1">
        <v>6.0077806420639921E-3</v>
      </c>
    </row>
    <row r="20" spans="7:14" x14ac:dyDescent="0.3">
      <c r="G20" t="s">
        <v>92</v>
      </c>
      <c r="H20" t="s">
        <v>1</v>
      </c>
      <c r="I20" t="s">
        <v>2</v>
      </c>
      <c r="J20" t="s">
        <v>3</v>
      </c>
      <c r="K20" t="s">
        <v>4</v>
      </c>
      <c r="L20" t="s">
        <v>5</v>
      </c>
    </row>
    <row r="21" spans="7:14" x14ac:dyDescent="0.3">
      <c r="G21" t="s">
        <v>122</v>
      </c>
      <c r="H21">
        <v>0.65135559041003799</v>
      </c>
      <c r="I21">
        <v>0.75031742475166097</v>
      </c>
      <c r="J21">
        <v>0.79393532003883704</v>
      </c>
      <c r="K21">
        <v>0.81753678392710405</v>
      </c>
      <c r="L21">
        <v>0.83613413996564301</v>
      </c>
    </row>
    <row r="22" spans="7:14" x14ac:dyDescent="0.3">
      <c r="G22" t="s">
        <v>123</v>
      </c>
      <c r="H22">
        <v>0.65516468742997902</v>
      </c>
      <c r="I22">
        <v>0.74553738143251902</v>
      </c>
      <c r="J22">
        <v>0.78952871760400301</v>
      </c>
      <c r="K22">
        <v>0.81507207409067095</v>
      </c>
      <c r="L22">
        <v>0.83225035476884002</v>
      </c>
    </row>
    <row r="23" spans="7:14" x14ac:dyDescent="0.3">
      <c r="G23" t="s">
        <v>124</v>
      </c>
      <c r="H23">
        <v>0.64874150421988197</v>
      </c>
      <c r="I23">
        <v>0.747404585854059</v>
      </c>
      <c r="J23">
        <v>0.79229218014788205</v>
      </c>
      <c r="K23">
        <v>0.81634177309731804</v>
      </c>
      <c r="L23">
        <v>0.83374411830607198</v>
      </c>
    </row>
    <row r="24" spans="7:14" x14ac:dyDescent="0.3">
      <c r="G24" t="s">
        <v>125</v>
      </c>
      <c r="H24">
        <v>0.64814399880498896</v>
      </c>
      <c r="I24">
        <v>0.74344611248039405</v>
      </c>
      <c r="J24">
        <v>0.78773620135932398</v>
      </c>
      <c r="K24">
        <v>0.81215923519306898</v>
      </c>
      <c r="L24">
        <v>0.83098065576219204</v>
      </c>
    </row>
    <row r="25" spans="7:14" x14ac:dyDescent="0.3">
      <c r="G25" t="s">
        <v>126</v>
      </c>
      <c r="H25">
        <v>0.65001120322652906</v>
      </c>
      <c r="I25">
        <v>0.74464112331017995</v>
      </c>
      <c r="J25">
        <v>0.78721338412129305</v>
      </c>
      <c r="K25">
        <v>0.81275674060796099</v>
      </c>
      <c r="L25">
        <v>0.83210097841511599</v>
      </c>
    </row>
    <row r="26" spans="7:14" x14ac:dyDescent="0.3">
      <c r="H26" t="s">
        <v>1</v>
      </c>
      <c r="I26" t="s">
        <v>2</v>
      </c>
      <c r="J26" t="s">
        <v>3</v>
      </c>
      <c r="K26" t="s">
        <v>4</v>
      </c>
      <c r="L26" t="s">
        <v>5</v>
      </c>
    </row>
    <row r="27" spans="7:14" x14ac:dyDescent="0.3">
      <c r="G27" s="12" t="s">
        <v>127</v>
      </c>
      <c r="H27" s="1">
        <f>+AVERAGE(H21:H25)</f>
        <v>0.65068339681828347</v>
      </c>
      <c r="I27" s="1">
        <f>+AVERAGE(I21:I25)</f>
        <v>0.74626932556576253</v>
      </c>
      <c r="J27" s="1">
        <f>+AVERAGE(J21:J25)</f>
        <v>0.79014116065426787</v>
      </c>
      <c r="K27" s="1">
        <f>+AVERAGE(K21:K25)</f>
        <v>0.81477332138322467</v>
      </c>
      <c r="L27" s="1">
        <f>+AVERAGE(L21:L25)</f>
        <v>0.83304204944357263</v>
      </c>
      <c r="N27" s="1">
        <f>+L27+M28</f>
        <v>0.83900738622772497</v>
      </c>
    </row>
    <row r="28" spans="7:14" x14ac:dyDescent="0.3">
      <c r="G28" s="12"/>
      <c r="H28" s="1">
        <f>+_xlfn.STDEV.S(H21:H25)</f>
        <v>2.7930781912485388E-3</v>
      </c>
      <c r="I28" s="1">
        <f>+_xlfn.STDEV.S(I21:I25)</f>
        <v>2.6848295972800658E-3</v>
      </c>
      <c r="J28" s="1">
        <f>+_xlfn.STDEV.S(J21:J25)</f>
        <v>2.9048804374971851E-3</v>
      </c>
      <c r="K28" s="1">
        <f>+_xlfn.STDEV.S(K21:K25)</f>
        <v>2.2959782133003198E-3</v>
      </c>
      <c r="L28" s="1">
        <f>+_xlfn.STDEV.S(L21:L25)</f>
        <v>1.9884455947174425E-3</v>
      </c>
      <c r="M28">
        <f>+L28*3</f>
        <v>5.965336784152328E-3</v>
      </c>
    </row>
    <row r="29" spans="7:14" x14ac:dyDescent="0.3">
      <c r="N29" s="1">
        <f>+L27-M28</f>
        <v>0.82707671265942029</v>
      </c>
    </row>
    <row r="30" spans="7:14" x14ac:dyDescent="0.3">
      <c r="H30" t="s">
        <v>23</v>
      </c>
      <c r="I30" t="s">
        <v>7</v>
      </c>
      <c r="J30" t="s">
        <v>8</v>
      </c>
    </row>
    <row r="31" spans="7:14" x14ac:dyDescent="0.3">
      <c r="H31" t="s">
        <v>1</v>
      </c>
      <c r="I31" s="1">
        <v>0.65068339681828347</v>
      </c>
      <c r="J31" s="1">
        <v>2.7930781912485388E-3</v>
      </c>
    </row>
    <row r="32" spans="7:14" x14ac:dyDescent="0.3">
      <c r="H32" t="s">
        <v>2</v>
      </c>
      <c r="I32" s="1">
        <v>0.74626932556576253</v>
      </c>
      <c r="J32" s="1">
        <v>2.6848295972800658E-3</v>
      </c>
    </row>
    <row r="33" spans="7:14" x14ac:dyDescent="0.3">
      <c r="H33" t="s">
        <v>3</v>
      </c>
      <c r="I33" s="1">
        <v>0.79014116065426787</v>
      </c>
      <c r="J33" s="1">
        <v>2.9048804374971851E-3</v>
      </c>
    </row>
    <row r="34" spans="7:14" x14ac:dyDescent="0.3">
      <c r="H34" t="s">
        <v>4</v>
      </c>
      <c r="I34" s="1">
        <v>0.81477332138322467</v>
      </c>
      <c r="J34" s="1">
        <v>2.2959782133003198E-3</v>
      </c>
    </row>
    <row r="35" spans="7:14" x14ac:dyDescent="0.3">
      <c r="H35" t="s">
        <v>5</v>
      </c>
      <c r="I35" s="1">
        <v>0.83304204944357263</v>
      </c>
      <c r="J35" s="1">
        <v>1.9884455947174425E-3</v>
      </c>
    </row>
    <row r="38" spans="7:14" x14ac:dyDescent="0.3">
      <c r="G38" t="s">
        <v>92</v>
      </c>
      <c r="H38" t="s">
        <v>1</v>
      </c>
      <c r="I38" t="s">
        <v>2</v>
      </c>
      <c r="J38" t="s">
        <v>3</v>
      </c>
      <c r="K38" t="s">
        <v>4</v>
      </c>
      <c r="L38" t="s">
        <v>5</v>
      </c>
    </row>
    <row r="39" spans="7:14" x14ac:dyDescent="0.3">
      <c r="G39" t="s">
        <v>128</v>
      </c>
      <c r="H39">
        <v>0.66233475240869299</v>
      </c>
      <c r="I39">
        <v>0.75674060796175902</v>
      </c>
      <c r="J39">
        <v>0.80162820225558296</v>
      </c>
      <c r="K39">
        <v>0.82590185973560304</v>
      </c>
      <c r="L39">
        <v>0.84173575323026295</v>
      </c>
    </row>
    <row r="40" spans="7:14" x14ac:dyDescent="0.3">
      <c r="G40" t="s">
        <v>129</v>
      </c>
      <c r="H40">
        <v>0.66509821495257304</v>
      </c>
      <c r="I40">
        <v>0.76144596310404</v>
      </c>
      <c r="J40">
        <v>0.79961162148031895</v>
      </c>
      <c r="K40">
        <v>0.82313839719172399</v>
      </c>
      <c r="L40">
        <v>0.83927104339382996</v>
      </c>
    </row>
    <row r="41" spans="7:14" x14ac:dyDescent="0.3">
      <c r="G41" t="s">
        <v>130</v>
      </c>
      <c r="H41">
        <v>0.65449249383822505</v>
      </c>
      <c r="I41">
        <v>0.75360370453357195</v>
      </c>
      <c r="J41">
        <v>0.79244155650160497</v>
      </c>
      <c r="K41">
        <v>0.817013966689073</v>
      </c>
      <c r="L41">
        <v>0.83426693554410303</v>
      </c>
    </row>
    <row r="42" spans="7:14" x14ac:dyDescent="0.3">
      <c r="G42" t="s">
        <v>131</v>
      </c>
      <c r="H42">
        <v>0.66584509672118897</v>
      </c>
      <c r="I42">
        <v>0.75524684442452705</v>
      </c>
      <c r="J42">
        <v>0.79699753529016304</v>
      </c>
      <c r="K42">
        <v>0.82201807453880005</v>
      </c>
      <c r="L42">
        <v>0.83837478527149101</v>
      </c>
    </row>
    <row r="43" spans="7:14" x14ac:dyDescent="0.3">
      <c r="G43" t="s">
        <v>132</v>
      </c>
      <c r="H43">
        <v>0.66569572036746505</v>
      </c>
      <c r="I43">
        <v>0.75748748973037505</v>
      </c>
      <c r="J43">
        <v>0.79804316976622602</v>
      </c>
      <c r="K43">
        <v>0.82567779520501905</v>
      </c>
      <c r="L43">
        <v>0.842258570468294</v>
      </c>
    </row>
    <row r="44" spans="7:14" x14ac:dyDescent="0.3">
      <c r="H44" t="s">
        <v>1</v>
      </c>
      <c r="I44" t="s">
        <v>2</v>
      </c>
      <c r="J44" t="s">
        <v>3</v>
      </c>
      <c r="K44" t="s">
        <v>4</v>
      </c>
      <c r="L44" t="s">
        <v>5</v>
      </c>
    </row>
    <row r="45" spans="7:14" x14ac:dyDescent="0.3">
      <c r="G45" s="12" t="s">
        <v>133</v>
      </c>
      <c r="H45" s="1">
        <f>+AVERAGE(H39:H43)</f>
        <v>0.66269325565762904</v>
      </c>
      <c r="I45" s="1">
        <f>+AVERAGE(I39:I43)</f>
        <v>0.75690492195085468</v>
      </c>
      <c r="J45" s="1">
        <f>+AVERAGE(J39:J43)</f>
        <v>0.79774441705877908</v>
      </c>
      <c r="K45" s="1">
        <f>+AVERAGE(K39:K43)</f>
        <v>0.82275001867204378</v>
      </c>
      <c r="L45" s="1">
        <f>+AVERAGE(L39:L43)</f>
        <v>0.83918141758159615</v>
      </c>
      <c r="N45" s="1">
        <f>+L45+M46</f>
        <v>0.84876315677587044</v>
      </c>
    </row>
    <row r="46" spans="7:14" x14ac:dyDescent="0.3">
      <c r="G46" s="12"/>
      <c r="H46" s="1">
        <f>+_xlfn.STDEV.S(H39:H43)</f>
        <v>4.798795281947924E-3</v>
      </c>
      <c r="I46" s="1">
        <f>+_xlfn.STDEV.S(I39:I43)</f>
        <v>2.942562513318711E-3</v>
      </c>
      <c r="J46" s="1">
        <f>+_xlfn.STDEV.S(J39:J43)</f>
        <v>3.4401182920090752E-3</v>
      </c>
      <c r="K46" s="1">
        <f>+_xlfn.STDEV.S(K39:K43)</f>
        <v>3.6088381079324191E-3</v>
      </c>
      <c r="L46" s="1">
        <f>+_xlfn.STDEV.S(L39:L43)</f>
        <v>3.1939130647580887E-3</v>
      </c>
      <c r="M46">
        <f>+L46*3</f>
        <v>9.5817391942742657E-3</v>
      </c>
    </row>
    <row r="47" spans="7:14" x14ac:dyDescent="0.3">
      <c r="N47" s="1">
        <f>+L45-M46</f>
        <v>0.82959967838732185</v>
      </c>
    </row>
    <row r="49" spans="7:14" x14ac:dyDescent="0.3">
      <c r="H49" t="s">
        <v>21</v>
      </c>
      <c r="I49" t="s">
        <v>7</v>
      </c>
      <c r="J49" t="s">
        <v>8</v>
      </c>
    </row>
    <row r="50" spans="7:14" x14ac:dyDescent="0.3">
      <c r="H50" t="s">
        <v>1</v>
      </c>
      <c r="I50" s="1">
        <v>0.66269325565762904</v>
      </c>
      <c r="J50" s="1">
        <v>4.798795281947924E-3</v>
      </c>
    </row>
    <row r="51" spans="7:14" x14ac:dyDescent="0.3">
      <c r="H51" t="s">
        <v>2</v>
      </c>
      <c r="I51" s="1">
        <v>0.75690492195085468</v>
      </c>
      <c r="J51" s="1">
        <v>2.942562513318711E-3</v>
      </c>
    </row>
    <row r="52" spans="7:14" x14ac:dyDescent="0.3">
      <c r="H52" t="s">
        <v>3</v>
      </c>
      <c r="I52" s="1">
        <v>0.79774441705877908</v>
      </c>
      <c r="J52" s="1">
        <v>3.4401182920090752E-3</v>
      </c>
    </row>
    <row r="53" spans="7:14" x14ac:dyDescent="0.3">
      <c r="H53" t="s">
        <v>4</v>
      </c>
      <c r="I53" s="1">
        <v>0.82275001867204378</v>
      </c>
      <c r="J53" s="1">
        <v>3.6088381079324191E-3</v>
      </c>
    </row>
    <row r="54" spans="7:14" x14ac:dyDescent="0.3">
      <c r="H54" t="s">
        <v>5</v>
      </c>
      <c r="I54" s="1">
        <v>0.83918141758159615</v>
      </c>
      <c r="J54" s="1">
        <v>3.1939130647580887E-3</v>
      </c>
    </row>
    <row r="57" spans="7:14" x14ac:dyDescent="0.3">
      <c r="G57" t="s">
        <v>92</v>
      </c>
      <c r="H57" t="s">
        <v>1</v>
      </c>
      <c r="I57" t="s">
        <v>2</v>
      </c>
      <c r="J57" t="s">
        <v>3</v>
      </c>
      <c r="K57" t="s">
        <v>4</v>
      </c>
      <c r="L57" t="s">
        <v>5</v>
      </c>
    </row>
    <row r="58" spans="7:14" x14ac:dyDescent="0.3">
      <c r="G58" t="s">
        <v>134</v>
      </c>
      <c r="H58">
        <v>0.66442602136081796</v>
      </c>
      <c r="I58">
        <v>0.75420120994846496</v>
      </c>
      <c r="J58">
        <v>0.79766972888191801</v>
      </c>
      <c r="K58">
        <v>0.82186869818507702</v>
      </c>
      <c r="L58">
        <v>0.83800134438718299</v>
      </c>
    </row>
    <row r="59" spans="7:14" x14ac:dyDescent="0.3">
      <c r="G59" t="s">
        <v>135</v>
      </c>
      <c r="H59">
        <v>0.66285756964672404</v>
      </c>
      <c r="I59">
        <v>0.75793561879154503</v>
      </c>
      <c r="J59">
        <v>0.79968630965718102</v>
      </c>
      <c r="K59">
        <v>0.82343714989917005</v>
      </c>
      <c r="L59">
        <v>0.83897229068638401</v>
      </c>
    </row>
    <row r="60" spans="7:14" x14ac:dyDescent="0.3">
      <c r="G60" t="s">
        <v>136</v>
      </c>
      <c r="H60">
        <v>0.66308163417730903</v>
      </c>
      <c r="I60">
        <v>0.75375308088729498</v>
      </c>
      <c r="J60">
        <v>0.79834192247367197</v>
      </c>
      <c r="K60">
        <v>0.82410934349092502</v>
      </c>
      <c r="L60">
        <v>0.84046605422361598</v>
      </c>
    </row>
    <row r="61" spans="7:14" x14ac:dyDescent="0.3">
      <c r="G61" t="s">
        <v>137</v>
      </c>
      <c r="H61">
        <v>0.66226006423183204</v>
      </c>
      <c r="I61">
        <v>0.75360370453357195</v>
      </c>
      <c r="J61">
        <v>0.79460751363059201</v>
      </c>
      <c r="K61">
        <v>0.81977742923295205</v>
      </c>
      <c r="L61">
        <v>0.83740383897228998</v>
      </c>
    </row>
    <row r="62" spans="7:14" x14ac:dyDescent="0.3">
      <c r="G62" t="s">
        <v>138</v>
      </c>
      <c r="H62">
        <v>0.665994473074912</v>
      </c>
      <c r="I62">
        <v>0.75703936066920596</v>
      </c>
      <c r="J62">
        <v>0.79752035252819398</v>
      </c>
      <c r="K62">
        <v>0.82171932183135399</v>
      </c>
      <c r="L62">
        <v>0.83927104339382996</v>
      </c>
    </row>
    <row r="63" spans="7:14" x14ac:dyDescent="0.3">
      <c r="H63" t="s">
        <v>1</v>
      </c>
      <c r="I63" t="s">
        <v>2</v>
      </c>
      <c r="J63" t="s">
        <v>3</v>
      </c>
      <c r="K63" t="s">
        <v>4</v>
      </c>
      <c r="L63" t="s">
        <v>5</v>
      </c>
    </row>
    <row r="64" spans="7:14" x14ac:dyDescent="0.3">
      <c r="H64" s="1">
        <f>+AVERAGE(H58:H62)</f>
        <v>0.66372395249831906</v>
      </c>
      <c r="I64" s="1">
        <f>+AVERAGE(I58:I62)</f>
        <v>0.75530659496601649</v>
      </c>
      <c r="J64" s="1">
        <f>+AVERAGE(J58:J62)</f>
        <v>0.79756516543431144</v>
      </c>
      <c r="K64" s="1">
        <f>+AVERAGE(K58:K62)</f>
        <v>0.8221823885278956</v>
      </c>
      <c r="L64" s="1">
        <f>+AVERAGE(L58:L62)</f>
        <v>0.83882291433266043</v>
      </c>
      <c r="N64" s="1">
        <f>+L64+M65</f>
        <v>0.8423762980492534</v>
      </c>
    </row>
    <row r="65" spans="8:14" x14ac:dyDescent="0.3">
      <c r="H65" s="1">
        <f>+_xlfn.STDEV.S(H58:H62)</f>
        <v>1.4961889339438275E-3</v>
      </c>
      <c r="I65" s="1">
        <f>+_xlfn.STDEV.S(I58:I62)</f>
        <v>2.0278905981383046E-3</v>
      </c>
      <c r="J65" s="1">
        <f>+_xlfn.STDEV.S(J58:J62)</f>
        <v>1.8616692923008622E-3</v>
      </c>
      <c r="K65" s="1">
        <f>+_xlfn.STDEV.S(K58:K62)</f>
        <v>1.6870272030516599E-3</v>
      </c>
      <c r="L65" s="1">
        <f>+_xlfn.STDEV.S(L58:L62)</f>
        <v>1.184461238864338E-3</v>
      </c>
      <c r="M65">
        <f>+L65*3</f>
        <v>3.5533837165930139E-3</v>
      </c>
    </row>
    <row r="66" spans="8:14" x14ac:dyDescent="0.3">
      <c r="N66" s="1">
        <f>+L64-M65</f>
        <v>0.83526953061606746</v>
      </c>
    </row>
    <row r="67" spans="8:14" x14ac:dyDescent="0.3">
      <c r="H67" t="s">
        <v>22</v>
      </c>
      <c r="I67" t="s">
        <v>7</v>
      </c>
      <c r="J67" t="s">
        <v>8</v>
      </c>
    </row>
    <row r="68" spans="8:14" x14ac:dyDescent="0.3">
      <c r="H68" t="s">
        <v>1</v>
      </c>
      <c r="I68" s="1">
        <v>0.66372395249831906</v>
      </c>
      <c r="J68" s="1">
        <v>1.4961889339438275E-3</v>
      </c>
    </row>
    <row r="69" spans="8:14" x14ac:dyDescent="0.3">
      <c r="H69" t="s">
        <v>2</v>
      </c>
      <c r="I69" s="1">
        <v>0.75530659496601649</v>
      </c>
      <c r="J69" s="1">
        <v>2.0278905981383046E-3</v>
      </c>
    </row>
    <row r="70" spans="8:14" x14ac:dyDescent="0.3">
      <c r="H70" t="s">
        <v>3</v>
      </c>
      <c r="I70" s="1">
        <v>0.79756516543431144</v>
      </c>
      <c r="J70" s="1">
        <v>1.8616692923008622E-3</v>
      </c>
    </row>
    <row r="71" spans="8:14" x14ac:dyDescent="0.3">
      <c r="H71" t="s">
        <v>4</v>
      </c>
      <c r="I71" s="1">
        <v>0.8221823885278956</v>
      </c>
      <c r="J71" s="1">
        <v>1.6870272030516599E-3</v>
      </c>
    </row>
    <row r="72" spans="8:14" x14ac:dyDescent="0.3">
      <c r="H72" t="s">
        <v>5</v>
      </c>
      <c r="I72" s="1">
        <v>0.83882291433266043</v>
      </c>
      <c r="J72" s="1">
        <v>1.184461238864338E-3</v>
      </c>
    </row>
  </sheetData>
  <mergeCells count="3">
    <mergeCell ref="G9:G10"/>
    <mergeCell ref="G27:G28"/>
    <mergeCell ref="G45:G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92FA0-7406-4B4E-B2A4-51853BA4A340}">
  <dimension ref="A1:V41"/>
  <sheetViews>
    <sheetView workbookViewId="0">
      <selection activeCell="N28" sqref="N28"/>
    </sheetView>
  </sheetViews>
  <sheetFormatPr baseColWidth="10" defaultRowHeight="14.4" x14ac:dyDescent="0.3"/>
  <cols>
    <col min="1" max="1" width="49.88671875" bestFit="1" customWidth="1"/>
    <col min="2" max="2" width="9.21875" bestFit="1" customWidth="1"/>
    <col min="3" max="3" width="5" bestFit="1" customWidth="1"/>
    <col min="4" max="4" width="10" bestFit="1" customWidth="1"/>
    <col min="5" max="5" width="5" bestFit="1" customWidth="1"/>
    <col min="6" max="6" width="10" bestFit="1" customWidth="1"/>
    <col min="7" max="7" width="5" bestFit="1" customWidth="1"/>
    <col min="8" max="8" width="10" bestFit="1" customWidth="1"/>
    <col min="9" max="9" width="5" bestFit="1" customWidth="1"/>
    <col min="10" max="10" width="10" bestFit="1" customWidth="1"/>
    <col min="11" max="11" width="5" bestFit="1" customWidth="1"/>
    <col min="12" max="12" width="10" bestFit="1" customWidth="1"/>
    <col min="15" max="15" width="21.6640625" bestFit="1" customWidth="1"/>
    <col min="16" max="16" width="33.44140625" bestFit="1" customWidth="1"/>
    <col min="17" max="17" width="34.109375" bestFit="1" customWidth="1"/>
    <col min="19" max="19" width="19.88671875" bestFit="1" customWidth="1"/>
  </cols>
  <sheetData>
    <row r="1" spans="1:22" x14ac:dyDescent="0.3">
      <c r="A1" s="9" t="s">
        <v>57</v>
      </c>
    </row>
    <row r="2" spans="1:22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N2" t="s">
        <v>25</v>
      </c>
      <c r="O2" t="s">
        <v>70</v>
      </c>
      <c r="P2" t="s">
        <v>71</v>
      </c>
      <c r="Q2" t="s">
        <v>72</v>
      </c>
      <c r="R2" t="s">
        <v>73</v>
      </c>
      <c r="S2" t="s">
        <v>74</v>
      </c>
      <c r="T2" t="s">
        <v>75</v>
      </c>
      <c r="U2" t="s">
        <v>76</v>
      </c>
      <c r="V2" t="s">
        <v>77</v>
      </c>
    </row>
    <row r="3" spans="1:22" x14ac:dyDescent="0.3">
      <c r="A3" t="s">
        <v>47</v>
      </c>
      <c r="B3">
        <v>3303</v>
      </c>
      <c r="C3">
        <v>3303</v>
      </c>
      <c r="D3" s="5">
        <v>0.94201606512069702</v>
      </c>
      <c r="E3">
        <v>3307</v>
      </c>
      <c r="F3" s="5">
        <v>3.6049988120794199E-2</v>
      </c>
      <c r="G3">
        <v>3302</v>
      </c>
      <c r="H3" s="5">
        <v>1.51764173060655E-2</v>
      </c>
      <c r="I3">
        <v>3301</v>
      </c>
      <c r="J3" s="5">
        <v>1.4376698527485E-3</v>
      </c>
      <c r="K3">
        <v>3304</v>
      </c>
      <c r="L3" s="5">
        <v>5.7632796233510002E-4</v>
      </c>
      <c r="N3">
        <v>1511</v>
      </c>
      <c r="O3">
        <v>247</v>
      </c>
      <c r="P3" s="10">
        <v>25.5668016194332</v>
      </c>
      <c r="Q3" s="10">
        <v>15.748505880084799</v>
      </c>
      <c r="R3">
        <v>7</v>
      </c>
      <c r="S3" s="10">
        <v>25</v>
      </c>
      <c r="T3" s="10">
        <v>15.4761904761904</v>
      </c>
      <c r="U3" s="10">
        <v>0.98764251811163695</v>
      </c>
      <c r="V3" s="10">
        <v>5</v>
      </c>
    </row>
    <row r="4" spans="1:22" x14ac:dyDescent="0.3">
      <c r="A4" t="s">
        <v>48</v>
      </c>
      <c r="B4">
        <v>8482</v>
      </c>
      <c r="C4">
        <v>8482</v>
      </c>
      <c r="D4" s="5">
        <v>0.99547749757766701</v>
      </c>
      <c r="E4">
        <v>8483</v>
      </c>
      <c r="F4" s="5">
        <v>2.92825163342E-4</v>
      </c>
      <c r="G4">
        <v>7319</v>
      </c>
      <c r="H4" s="5">
        <v>4.0000000000000003E-5</v>
      </c>
      <c r="I4">
        <v>8711</v>
      </c>
      <c r="J4" s="5">
        <v>4.0000000000000003E-5</v>
      </c>
      <c r="K4">
        <v>7009</v>
      </c>
      <c r="L4" s="5">
        <v>2.0000000000000002E-5</v>
      </c>
      <c r="N4">
        <v>3303</v>
      </c>
      <c r="O4">
        <v>464</v>
      </c>
      <c r="P4" s="10">
        <v>27.497844827586199</v>
      </c>
      <c r="Q4" s="10">
        <v>17.391213551773799</v>
      </c>
      <c r="R4">
        <v>7</v>
      </c>
      <c r="S4" s="10">
        <v>27.857142857142801</v>
      </c>
      <c r="T4" s="10">
        <v>19.2777777777777</v>
      </c>
      <c r="U4" s="10">
        <v>0.91412552339690001</v>
      </c>
      <c r="V4" s="10">
        <v>5</v>
      </c>
    </row>
    <row r="5" spans="1:22" x14ac:dyDescent="0.3">
      <c r="A5" t="s">
        <v>49</v>
      </c>
      <c r="B5">
        <v>9403</v>
      </c>
      <c r="C5">
        <v>9403</v>
      </c>
      <c r="D5" s="5">
        <v>0.62179613113403298</v>
      </c>
      <c r="E5">
        <v>9401</v>
      </c>
      <c r="F5" s="5">
        <v>0.36676108837127602</v>
      </c>
      <c r="G5">
        <v>9404</v>
      </c>
      <c r="H5" s="5">
        <v>1.2968466617166001E-3</v>
      </c>
      <c r="I5">
        <v>8715</v>
      </c>
      <c r="J5" s="5">
        <v>6.3001987291489998E-4</v>
      </c>
      <c r="K5">
        <v>9402</v>
      </c>
      <c r="L5" s="5">
        <v>5.1430682651690002E-4</v>
      </c>
      <c r="N5">
        <v>3004</v>
      </c>
      <c r="O5">
        <v>1425</v>
      </c>
      <c r="P5" s="10">
        <v>36.105964912280697</v>
      </c>
      <c r="Q5" s="10">
        <v>25.371881950902601</v>
      </c>
      <c r="R5">
        <v>11</v>
      </c>
      <c r="S5" s="10">
        <v>28.181818181818102</v>
      </c>
      <c r="T5" s="10">
        <v>27.651515151515099</v>
      </c>
      <c r="U5" s="10">
        <v>0.86750541762872102</v>
      </c>
      <c r="V5" s="10">
        <v>5</v>
      </c>
    </row>
    <row r="6" spans="1:22" x14ac:dyDescent="0.3">
      <c r="A6" t="s">
        <v>50</v>
      </c>
      <c r="B6">
        <v>8481</v>
      </c>
      <c r="C6">
        <v>8481</v>
      </c>
      <c r="D6" s="5">
        <v>0.47839093208312899</v>
      </c>
      <c r="E6">
        <v>8409</v>
      </c>
      <c r="F6" s="5">
        <v>0.38958910107612599</v>
      </c>
      <c r="G6">
        <v>8431</v>
      </c>
      <c r="H6" s="5">
        <v>1.75049044191837E-2</v>
      </c>
      <c r="I6">
        <v>8414</v>
      </c>
      <c r="J6" s="5">
        <v>1.7503583803772899E-2</v>
      </c>
      <c r="K6">
        <v>8708</v>
      </c>
      <c r="L6" s="5">
        <v>1.1795331723988001E-2</v>
      </c>
      <c r="N6">
        <v>3901</v>
      </c>
      <c r="O6">
        <v>564</v>
      </c>
      <c r="P6" s="10">
        <v>32.856382978723403</v>
      </c>
      <c r="Q6" s="10">
        <v>24.591814607772001</v>
      </c>
      <c r="R6">
        <v>9</v>
      </c>
      <c r="S6" s="10">
        <v>29.2222222222222</v>
      </c>
      <c r="T6" s="10">
        <v>23.712962962962902</v>
      </c>
      <c r="U6" s="10">
        <v>0.92518649498621597</v>
      </c>
      <c r="V6" s="10">
        <v>5</v>
      </c>
    </row>
    <row r="7" spans="1:22" x14ac:dyDescent="0.3">
      <c r="A7" t="s">
        <v>51</v>
      </c>
      <c r="B7">
        <v>6204</v>
      </c>
      <c r="C7">
        <v>6204</v>
      </c>
      <c r="D7" s="5">
        <v>0.85633325576782204</v>
      </c>
      <c r="E7">
        <v>6104</v>
      </c>
      <c r="F7" s="5">
        <v>0.118773087859153</v>
      </c>
      <c r="G7">
        <v>6209</v>
      </c>
      <c r="H7" s="5">
        <v>6.7716408520936003E-3</v>
      </c>
      <c r="I7">
        <v>6114</v>
      </c>
      <c r="J7" s="5">
        <v>4.6771774068473998E-3</v>
      </c>
      <c r="K7">
        <v>6108</v>
      </c>
      <c r="L7" s="5">
        <v>2.7184032369405001E-3</v>
      </c>
      <c r="N7">
        <v>8429</v>
      </c>
      <c r="O7">
        <v>582</v>
      </c>
      <c r="P7" s="10">
        <v>38.070446735395102</v>
      </c>
      <c r="Q7" s="10">
        <v>22.536680648183602</v>
      </c>
      <c r="R7">
        <v>8</v>
      </c>
      <c r="S7" s="10">
        <v>56.125</v>
      </c>
      <c r="T7" s="10">
        <v>22.677426739926702</v>
      </c>
      <c r="U7" s="10">
        <v>0.967829249799251</v>
      </c>
      <c r="V7" s="10">
        <v>5</v>
      </c>
    </row>
    <row r="8" spans="1:22" x14ac:dyDescent="0.3">
      <c r="A8" t="s">
        <v>52</v>
      </c>
      <c r="B8">
        <v>8443</v>
      </c>
      <c r="C8">
        <v>8443</v>
      </c>
      <c r="D8" s="5">
        <v>0.97973608970642001</v>
      </c>
      <c r="E8">
        <v>8471</v>
      </c>
      <c r="F8" s="5">
        <v>1.7890179296955E-3</v>
      </c>
      <c r="G8">
        <v>3707</v>
      </c>
      <c r="H8" s="5">
        <v>1.5529494266956999E-3</v>
      </c>
      <c r="I8">
        <v>3215</v>
      </c>
      <c r="J8" s="5">
        <v>1.3355354312807001E-3</v>
      </c>
      <c r="K8">
        <v>8442</v>
      </c>
      <c r="L8" s="5">
        <v>8.8419392704959998E-4</v>
      </c>
      <c r="N8">
        <v>9609</v>
      </c>
      <c r="O8">
        <v>265</v>
      </c>
      <c r="P8" s="10">
        <v>28.218867924528301</v>
      </c>
      <c r="Q8" s="10">
        <v>17.843552901654999</v>
      </c>
      <c r="R8">
        <v>6</v>
      </c>
      <c r="S8" s="10">
        <v>25.6666666666666</v>
      </c>
      <c r="T8" s="10">
        <v>20.6944444444444</v>
      </c>
      <c r="U8" s="10">
        <v>0.73060616105794896</v>
      </c>
      <c r="V8" s="10">
        <v>5</v>
      </c>
    </row>
    <row r="9" spans="1:22" x14ac:dyDescent="0.3">
      <c r="A9" t="s">
        <v>53</v>
      </c>
      <c r="B9">
        <v>8544</v>
      </c>
      <c r="C9">
        <v>8544</v>
      </c>
      <c r="D9" s="5">
        <v>0.97656494379043501</v>
      </c>
      <c r="E9">
        <v>7413</v>
      </c>
      <c r="F9" s="5">
        <v>1.1840994469821399E-2</v>
      </c>
      <c r="G9">
        <v>9001</v>
      </c>
      <c r="H9" s="5">
        <v>2.2642076946793998E-3</v>
      </c>
      <c r="I9">
        <v>7312</v>
      </c>
      <c r="J9" s="5">
        <v>1.3820341555401E-3</v>
      </c>
      <c r="K9">
        <v>8536</v>
      </c>
      <c r="L9" s="5">
        <v>1.1985684977844E-3</v>
      </c>
      <c r="N9">
        <v>8711</v>
      </c>
      <c r="O9">
        <v>2916</v>
      </c>
      <c r="P9" s="10">
        <v>58.4255829903978</v>
      </c>
      <c r="Q9" s="10">
        <v>31.944355617709501</v>
      </c>
      <c r="R9">
        <v>19</v>
      </c>
      <c r="S9" s="10">
        <v>61.2631578947368</v>
      </c>
      <c r="T9" s="10">
        <v>33.813283208020003</v>
      </c>
      <c r="U9" s="10">
        <v>0.98698505288676197</v>
      </c>
      <c r="V9" s="10">
        <v>4.9473684210526301</v>
      </c>
    </row>
    <row r="10" spans="1:22" x14ac:dyDescent="0.3">
      <c r="A10" t="s">
        <v>54</v>
      </c>
      <c r="B10">
        <v>8483</v>
      </c>
      <c r="C10">
        <v>8483</v>
      </c>
      <c r="D10" s="5">
        <v>0.95631295442581099</v>
      </c>
      <c r="E10">
        <v>8448</v>
      </c>
      <c r="F10" s="5">
        <v>8.1013748422265001E-3</v>
      </c>
      <c r="G10">
        <v>8431</v>
      </c>
      <c r="H10" s="5">
        <v>6.7387251183390002E-3</v>
      </c>
      <c r="I10">
        <v>8708</v>
      </c>
      <c r="J10" s="5">
        <v>5.1572583615779001E-3</v>
      </c>
      <c r="K10">
        <v>8425</v>
      </c>
      <c r="L10" s="5">
        <v>3.0635870061814E-3</v>
      </c>
      <c r="N10">
        <v>1704</v>
      </c>
      <c r="O10">
        <v>1561</v>
      </c>
      <c r="P10" s="10">
        <v>30.530429212043501</v>
      </c>
      <c r="Q10" s="10">
        <v>20.9898531783541</v>
      </c>
      <c r="R10">
        <v>16</v>
      </c>
      <c r="S10" s="10">
        <v>35.5</v>
      </c>
      <c r="T10" s="10">
        <v>32.762400793650698</v>
      </c>
      <c r="U10" s="10">
        <v>0.91499642282724303</v>
      </c>
      <c r="V10" s="10">
        <v>4.9375</v>
      </c>
    </row>
    <row r="11" spans="1:22" x14ac:dyDescent="0.3">
      <c r="A11" t="s">
        <v>55</v>
      </c>
      <c r="B11">
        <v>9405</v>
      </c>
      <c r="C11">
        <v>9405</v>
      </c>
      <c r="D11" s="5">
        <v>0.99565756320953303</v>
      </c>
      <c r="E11">
        <v>8539</v>
      </c>
      <c r="F11" s="5">
        <v>1.1032243492081E-3</v>
      </c>
      <c r="G11">
        <v>9403</v>
      </c>
      <c r="H11" s="5">
        <v>4.8793965834189999E-4</v>
      </c>
      <c r="I11">
        <v>8528</v>
      </c>
      <c r="J11" s="5">
        <v>1.7509980534659999E-4</v>
      </c>
      <c r="K11">
        <v>8541</v>
      </c>
      <c r="L11" s="5">
        <v>1.5993272245390001E-4</v>
      </c>
      <c r="N11">
        <v>4011</v>
      </c>
      <c r="O11">
        <v>1847</v>
      </c>
      <c r="P11" s="10">
        <v>34.593936112614998</v>
      </c>
      <c r="Q11" s="10">
        <v>24.3733114339244</v>
      </c>
      <c r="R11">
        <v>25</v>
      </c>
      <c r="S11" s="10">
        <v>34.56</v>
      </c>
      <c r="T11" s="10">
        <v>26.8314646464646</v>
      </c>
      <c r="U11" s="10">
        <v>0.96637502193450897</v>
      </c>
      <c r="V11" s="10">
        <v>4.92</v>
      </c>
    </row>
    <row r="12" spans="1:22" x14ac:dyDescent="0.3">
      <c r="A12" t="s">
        <v>56</v>
      </c>
      <c r="B12">
        <v>4821</v>
      </c>
      <c r="C12">
        <v>4821</v>
      </c>
      <c r="D12" s="5">
        <v>0.78264188766479403</v>
      </c>
      <c r="E12">
        <v>3920</v>
      </c>
      <c r="F12" s="5">
        <v>8.5335433483123696E-2</v>
      </c>
      <c r="G12">
        <v>3921</v>
      </c>
      <c r="H12" s="5">
        <v>2.35713198781013E-2</v>
      </c>
      <c r="I12">
        <v>5807</v>
      </c>
      <c r="J12" s="5">
        <v>2.0992174744606001E-2</v>
      </c>
      <c r="K12">
        <v>3919</v>
      </c>
      <c r="L12" s="5">
        <v>1.7370210960507299E-2</v>
      </c>
      <c r="N12">
        <v>8701</v>
      </c>
      <c r="O12">
        <v>1386</v>
      </c>
      <c r="P12" s="10">
        <v>43.712121212121197</v>
      </c>
      <c r="Q12" s="10">
        <v>19.735707239569599</v>
      </c>
      <c r="R12">
        <v>11</v>
      </c>
      <c r="S12" s="10">
        <v>61.636363636363598</v>
      </c>
      <c r="T12" s="10">
        <v>19.753628724216899</v>
      </c>
      <c r="U12" s="10">
        <v>0.99858539754694098</v>
      </c>
      <c r="V12" s="10">
        <v>4.9090909090909003</v>
      </c>
    </row>
    <row r="14" spans="1:22" x14ac:dyDescent="0.3">
      <c r="A14" s="9" t="s">
        <v>58</v>
      </c>
      <c r="N14" t="s">
        <v>25</v>
      </c>
      <c r="O14" t="s">
        <v>70</v>
      </c>
      <c r="P14" t="s">
        <v>71</v>
      </c>
      <c r="Q14" t="s">
        <v>72</v>
      </c>
      <c r="R14" t="s">
        <v>73</v>
      </c>
      <c r="S14" t="s">
        <v>74</v>
      </c>
      <c r="T14" t="s">
        <v>75</v>
      </c>
      <c r="U14" t="s">
        <v>76</v>
      </c>
      <c r="V14" t="s">
        <v>77</v>
      </c>
    </row>
    <row r="15" spans="1:22" x14ac:dyDescent="0.3">
      <c r="A15" t="s">
        <v>24</v>
      </c>
      <c r="B15" t="s">
        <v>25</v>
      </c>
      <c r="C15" t="s">
        <v>26</v>
      </c>
      <c r="D15" t="s">
        <v>27</v>
      </c>
      <c r="E15" t="s">
        <v>28</v>
      </c>
      <c r="F15" t="s">
        <v>29</v>
      </c>
      <c r="G15" t="s">
        <v>30</v>
      </c>
      <c r="H15" t="s">
        <v>31</v>
      </c>
      <c r="I15" t="s">
        <v>32</v>
      </c>
      <c r="J15" t="s">
        <v>33</v>
      </c>
      <c r="K15" t="s">
        <v>34</v>
      </c>
      <c r="L15" t="s">
        <v>35</v>
      </c>
      <c r="N15">
        <v>3926</v>
      </c>
      <c r="O15">
        <v>1288</v>
      </c>
      <c r="P15" s="10">
        <v>25.614130434782599</v>
      </c>
      <c r="Q15" s="10">
        <v>17.6421618185407</v>
      </c>
      <c r="R15">
        <v>7</v>
      </c>
      <c r="S15" s="10">
        <v>29.285714285714199</v>
      </c>
      <c r="T15" s="10">
        <v>21.4761904761904</v>
      </c>
      <c r="U15" s="10">
        <v>0.59833217305796405</v>
      </c>
      <c r="V15" s="10">
        <v>2.5714285714285698</v>
      </c>
    </row>
    <row r="16" spans="1:22" x14ac:dyDescent="0.3">
      <c r="A16" t="s">
        <v>59</v>
      </c>
      <c r="B16">
        <v>8419</v>
      </c>
      <c r="C16">
        <v>9402</v>
      </c>
      <c r="D16" s="5">
        <v>0.26592481136321999</v>
      </c>
      <c r="E16">
        <v>9403</v>
      </c>
      <c r="F16" s="5">
        <v>0.24737372994422899</v>
      </c>
      <c r="G16">
        <v>9018</v>
      </c>
      <c r="H16" s="5">
        <v>0.22773797810077601</v>
      </c>
      <c r="I16">
        <v>8419</v>
      </c>
      <c r="J16" s="5">
        <v>9.9246852099895394E-2</v>
      </c>
      <c r="K16">
        <v>8537</v>
      </c>
      <c r="L16" s="5">
        <v>2.7062674984335899E-2</v>
      </c>
      <c r="N16">
        <v>7306</v>
      </c>
      <c r="O16">
        <v>297</v>
      </c>
      <c r="P16" s="10">
        <v>31.915824915824899</v>
      </c>
      <c r="Q16" s="10">
        <v>20.136047679571099</v>
      </c>
      <c r="R16">
        <v>7</v>
      </c>
      <c r="S16" s="10">
        <v>32</v>
      </c>
      <c r="T16" s="10">
        <v>15.072562358276601</v>
      </c>
      <c r="U16" s="10">
        <v>0.46952693802969703</v>
      </c>
      <c r="V16" s="10">
        <v>2.5714285714285698</v>
      </c>
    </row>
    <row r="17" spans="1:22" x14ac:dyDescent="0.3">
      <c r="A17" t="s">
        <v>60</v>
      </c>
      <c r="B17">
        <v>3920</v>
      </c>
      <c r="C17">
        <v>8546</v>
      </c>
      <c r="D17" s="5">
        <v>0.44508430361747697</v>
      </c>
      <c r="E17">
        <v>3919</v>
      </c>
      <c r="F17" s="5">
        <v>0.234640046954154</v>
      </c>
      <c r="G17">
        <v>5906</v>
      </c>
      <c r="H17" s="5">
        <v>8.9700266718864399E-2</v>
      </c>
      <c r="I17">
        <v>3920</v>
      </c>
      <c r="J17" s="5">
        <v>4.8212941735982798E-2</v>
      </c>
      <c r="K17">
        <v>3921</v>
      </c>
      <c r="L17" s="5">
        <v>2.98142954707145E-2</v>
      </c>
      <c r="N17">
        <v>3920</v>
      </c>
      <c r="O17">
        <v>684</v>
      </c>
      <c r="P17" s="10">
        <v>29.676900584795298</v>
      </c>
      <c r="Q17" s="10">
        <v>18.0558973642048</v>
      </c>
      <c r="R17">
        <v>9</v>
      </c>
      <c r="S17" s="10">
        <v>23.1111111111111</v>
      </c>
      <c r="T17" s="10">
        <v>15.3055555555555</v>
      </c>
      <c r="U17" s="10">
        <v>0.52469362815221099</v>
      </c>
      <c r="V17" s="10">
        <v>2.55555555555555</v>
      </c>
    </row>
    <row r="18" spans="1:22" x14ac:dyDescent="0.3">
      <c r="A18" t="s">
        <v>61</v>
      </c>
      <c r="B18">
        <v>8419</v>
      </c>
      <c r="C18">
        <v>8479</v>
      </c>
      <c r="D18" s="5">
        <v>0.286221534013748</v>
      </c>
      <c r="E18">
        <v>8438</v>
      </c>
      <c r="F18" s="5">
        <v>0.205112189054489</v>
      </c>
      <c r="G18">
        <v>8419</v>
      </c>
      <c r="H18" s="5">
        <v>8.5044577717780998E-2</v>
      </c>
      <c r="I18">
        <v>8515</v>
      </c>
      <c r="J18" s="5">
        <v>7.8899264335632296E-2</v>
      </c>
      <c r="K18">
        <v>8477</v>
      </c>
      <c r="L18" s="5">
        <v>5.3333800286054597E-2</v>
      </c>
      <c r="N18">
        <v>8415</v>
      </c>
      <c r="O18">
        <v>450</v>
      </c>
      <c r="P18" s="10">
        <v>30.3</v>
      </c>
      <c r="Q18" s="10">
        <v>19.785987637997401</v>
      </c>
      <c r="R18">
        <v>6</v>
      </c>
      <c r="S18" s="10">
        <v>24.5</v>
      </c>
      <c r="T18" s="10">
        <v>19.259259259259199</v>
      </c>
      <c r="U18" s="10">
        <v>0.57778674984971601</v>
      </c>
      <c r="V18" s="10">
        <v>2.3333333333333299</v>
      </c>
    </row>
    <row r="19" spans="1:22" x14ac:dyDescent="0.3">
      <c r="A19" t="s">
        <v>62</v>
      </c>
      <c r="B19">
        <v>7306</v>
      </c>
      <c r="C19">
        <v>8409</v>
      </c>
      <c r="D19" s="5">
        <v>0.30678647756576499</v>
      </c>
      <c r="E19">
        <v>7304</v>
      </c>
      <c r="F19" s="5">
        <v>0.172320216894149</v>
      </c>
      <c r="G19">
        <v>8708</v>
      </c>
      <c r="H19" s="5">
        <v>0.14396795630455</v>
      </c>
      <c r="I19">
        <v>4009</v>
      </c>
      <c r="J19" s="5">
        <v>8.0439552664756706E-2</v>
      </c>
      <c r="K19">
        <v>7306</v>
      </c>
      <c r="L19" s="5">
        <v>5.88722825050354E-2</v>
      </c>
      <c r="N19">
        <v>8419</v>
      </c>
      <c r="O19">
        <v>701</v>
      </c>
      <c r="P19" s="10">
        <v>31.179743223965701</v>
      </c>
      <c r="Q19" s="10">
        <v>17.514665350550299</v>
      </c>
      <c r="R19">
        <v>7</v>
      </c>
      <c r="S19" s="10">
        <v>24.857142857142801</v>
      </c>
      <c r="T19" s="10">
        <v>21.523809523809501</v>
      </c>
      <c r="U19" s="10">
        <v>0.58369995440755496</v>
      </c>
      <c r="V19" s="10">
        <v>1.71428571428571</v>
      </c>
    </row>
    <row r="20" spans="1:22" x14ac:dyDescent="0.3">
      <c r="A20" t="s">
        <v>63</v>
      </c>
      <c r="B20">
        <v>8421</v>
      </c>
      <c r="C20">
        <v>8479</v>
      </c>
      <c r="D20" s="5">
        <v>0.92468851804733199</v>
      </c>
      <c r="E20">
        <v>8474</v>
      </c>
      <c r="F20" s="5">
        <v>2.22492646425962E-2</v>
      </c>
      <c r="G20">
        <v>8438</v>
      </c>
      <c r="H20" s="5">
        <v>4.3818163685499997E-3</v>
      </c>
      <c r="I20">
        <v>9018</v>
      </c>
      <c r="J20" s="5">
        <v>2.6134774088858999E-3</v>
      </c>
      <c r="K20">
        <v>7017</v>
      </c>
      <c r="L20" s="5">
        <v>2.4403478018939001E-3</v>
      </c>
      <c r="N20">
        <v>8803</v>
      </c>
      <c r="O20">
        <v>255</v>
      </c>
      <c r="P20" s="10">
        <v>25.439215686274501</v>
      </c>
      <c r="Q20" s="10">
        <v>19.2504979769685</v>
      </c>
      <c r="R20">
        <v>7</v>
      </c>
      <c r="S20" s="10">
        <v>33</v>
      </c>
      <c r="T20" s="10">
        <v>21.7959183673469</v>
      </c>
      <c r="U20" s="10">
        <v>0.59843392244407101</v>
      </c>
      <c r="V20" s="10">
        <v>1.4285714285714199</v>
      </c>
    </row>
    <row r="21" spans="1:22" x14ac:dyDescent="0.3">
      <c r="A21" t="s">
        <v>64</v>
      </c>
      <c r="B21">
        <v>8481</v>
      </c>
      <c r="C21">
        <v>8414</v>
      </c>
      <c r="D21" s="5">
        <v>0.174509346485137</v>
      </c>
      <c r="E21">
        <v>8481</v>
      </c>
      <c r="F21" s="5">
        <v>0.15272915363311701</v>
      </c>
      <c r="G21">
        <v>8415</v>
      </c>
      <c r="H21" s="5">
        <v>0.13644918799400299</v>
      </c>
      <c r="I21">
        <v>8421</v>
      </c>
      <c r="J21" s="5">
        <v>9.7034461796283694E-2</v>
      </c>
      <c r="K21">
        <v>8409</v>
      </c>
      <c r="L21" s="5">
        <v>6.4601846039295197E-2</v>
      </c>
      <c r="N21">
        <v>8473</v>
      </c>
      <c r="O21">
        <v>676</v>
      </c>
      <c r="P21" s="10">
        <v>29.676035502958499</v>
      </c>
      <c r="Q21" s="10">
        <v>20.311457191449701</v>
      </c>
      <c r="R21">
        <v>8</v>
      </c>
      <c r="S21" s="10">
        <v>29.625</v>
      </c>
      <c r="T21" s="10">
        <v>24.53125</v>
      </c>
      <c r="U21" s="10">
        <v>0.58584766648709696</v>
      </c>
      <c r="V21" s="10">
        <v>1.375</v>
      </c>
    </row>
    <row r="22" spans="1:22" x14ac:dyDescent="0.3">
      <c r="A22" t="s">
        <v>65</v>
      </c>
      <c r="B22">
        <v>7412</v>
      </c>
      <c r="C22">
        <v>7411</v>
      </c>
      <c r="D22" s="5">
        <v>0.13595125079154899</v>
      </c>
      <c r="E22">
        <v>7307</v>
      </c>
      <c r="F22" s="5">
        <v>8.0712087452411596E-2</v>
      </c>
      <c r="G22">
        <v>8607</v>
      </c>
      <c r="H22" s="5">
        <v>8.0477155745029394E-2</v>
      </c>
      <c r="I22">
        <v>7304</v>
      </c>
      <c r="J22" s="5">
        <v>7.6969273388385703E-2</v>
      </c>
      <c r="K22">
        <v>7412</v>
      </c>
      <c r="L22" s="5">
        <v>6.9569006562232902E-2</v>
      </c>
      <c r="N22">
        <v>8543</v>
      </c>
      <c r="O22">
        <v>619</v>
      </c>
      <c r="P22" s="10">
        <v>31.003231017770599</v>
      </c>
      <c r="Q22" s="10">
        <v>19.3028467225095</v>
      </c>
      <c r="R22">
        <v>13</v>
      </c>
      <c r="S22" s="10">
        <v>36.923076923076898</v>
      </c>
      <c r="T22" s="10">
        <v>16.997169497169399</v>
      </c>
      <c r="U22" s="10">
        <v>0.48651437805249098</v>
      </c>
      <c r="V22" s="10">
        <v>1.07692307692307</v>
      </c>
    </row>
    <row r="23" spans="1:22" x14ac:dyDescent="0.3">
      <c r="A23" t="s">
        <v>66</v>
      </c>
      <c r="B23">
        <v>8459</v>
      </c>
      <c r="C23">
        <v>8467</v>
      </c>
      <c r="D23" s="5">
        <v>0.70405423641204801</v>
      </c>
      <c r="E23">
        <v>8459</v>
      </c>
      <c r="F23" s="5">
        <v>0.106525443494319</v>
      </c>
      <c r="G23">
        <v>8205</v>
      </c>
      <c r="H23" s="5">
        <v>6.3446030020713806E-2</v>
      </c>
      <c r="I23">
        <v>8465</v>
      </c>
      <c r="J23" s="5">
        <v>4.7247484326362603E-2</v>
      </c>
      <c r="K23">
        <v>8430</v>
      </c>
      <c r="L23" s="5">
        <v>3.2401289790868697E-2</v>
      </c>
      <c r="N23">
        <v>8479</v>
      </c>
      <c r="O23">
        <v>1119</v>
      </c>
      <c r="P23" s="10">
        <v>33.418230563002602</v>
      </c>
      <c r="Q23" s="10">
        <v>18.234107512409398</v>
      </c>
      <c r="R23">
        <v>11</v>
      </c>
      <c r="S23" s="10">
        <v>26.272727272727199</v>
      </c>
      <c r="T23" s="10">
        <v>26.7994227994228</v>
      </c>
      <c r="U23" s="10">
        <v>0.495512288402427</v>
      </c>
      <c r="V23" s="10">
        <v>1</v>
      </c>
    </row>
    <row r="24" spans="1:22" x14ac:dyDescent="0.3">
      <c r="A24" t="s">
        <v>67</v>
      </c>
      <c r="B24">
        <v>8431</v>
      </c>
      <c r="C24">
        <v>8483</v>
      </c>
      <c r="D24" s="5">
        <v>0.61041277647018399</v>
      </c>
      <c r="E24">
        <v>8708</v>
      </c>
      <c r="F24" s="5">
        <v>0.20185603201389299</v>
      </c>
      <c r="G24">
        <v>8431</v>
      </c>
      <c r="H24" s="5">
        <v>0.102434955537319</v>
      </c>
      <c r="I24">
        <v>7318</v>
      </c>
      <c r="J24" s="5">
        <v>2.4173671379685398E-2</v>
      </c>
      <c r="K24">
        <v>7326</v>
      </c>
      <c r="L24" s="5">
        <v>7.1454914286731997E-3</v>
      </c>
      <c r="N24">
        <v>7616</v>
      </c>
      <c r="O24">
        <v>612</v>
      </c>
      <c r="P24" s="10">
        <v>31.9444444444444</v>
      </c>
      <c r="Q24" s="10">
        <v>17.1434499383464</v>
      </c>
      <c r="R24">
        <v>6</v>
      </c>
      <c r="S24" s="10">
        <v>20.3333333333333</v>
      </c>
      <c r="T24" s="10">
        <v>12.3333333333333</v>
      </c>
      <c r="U24" s="10">
        <v>0.52381945153077403</v>
      </c>
      <c r="V24" s="10">
        <v>0.83333333333333304</v>
      </c>
    </row>
    <row r="25" spans="1:22" x14ac:dyDescent="0.3">
      <c r="A25" t="s">
        <v>68</v>
      </c>
      <c r="B25">
        <v>8708</v>
      </c>
      <c r="C25">
        <v>9405</v>
      </c>
      <c r="D25" s="5">
        <v>0.87064647674560502</v>
      </c>
      <c r="E25">
        <v>8512</v>
      </c>
      <c r="F25" s="5">
        <v>3.9994165301322902E-2</v>
      </c>
      <c r="G25">
        <v>8539</v>
      </c>
      <c r="H25" s="5">
        <v>3.5015132278203902E-2</v>
      </c>
      <c r="I25">
        <v>8536</v>
      </c>
      <c r="J25" s="5">
        <v>3.1237930525094002E-3</v>
      </c>
      <c r="K25">
        <v>8513</v>
      </c>
      <c r="L25" s="5">
        <v>3.0091288499534E-3</v>
      </c>
    </row>
    <row r="27" spans="1:22" x14ac:dyDescent="0.3">
      <c r="A27" s="9" t="s">
        <v>69</v>
      </c>
    </row>
    <row r="28" spans="1:22" x14ac:dyDescent="0.3">
      <c r="A28" t="s">
        <v>24</v>
      </c>
      <c r="B28" t="s">
        <v>25</v>
      </c>
      <c r="C28" t="s">
        <v>26</v>
      </c>
      <c r="D28" t="s">
        <v>27</v>
      </c>
      <c r="E28" t="s">
        <v>28</v>
      </c>
      <c r="F28" t="s">
        <v>29</v>
      </c>
      <c r="G28" t="s">
        <v>30</v>
      </c>
      <c r="H28" t="s">
        <v>31</v>
      </c>
      <c r="I28" t="s">
        <v>32</v>
      </c>
      <c r="J28" t="s">
        <v>33</v>
      </c>
      <c r="K28" t="s">
        <v>34</v>
      </c>
      <c r="L28" t="s">
        <v>35</v>
      </c>
    </row>
    <row r="29" spans="1:22" x14ac:dyDescent="0.3">
      <c r="A29" t="s">
        <v>36</v>
      </c>
      <c r="B29" s="6">
        <v>8413</v>
      </c>
      <c r="C29" s="6">
        <v>8409</v>
      </c>
      <c r="D29" s="5">
        <v>0.99515670537948597</v>
      </c>
      <c r="E29" s="6">
        <v>8431</v>
      </c>
      <c r="F29" s="5">
        <v>1.2662366498261001E-3</v>
      </c>
      <c r="G29" s="6">
        <v>8414</v>
      </c>
      <c r="H29" s="5">
        <v>5.785103421658E-4</v>
      </c>
      <c r="I29" s="6">
        <v>8413</v>
      </c>
      <c r="J29" s="5">
        <v>4.340684099588E-4</v>
      </c>
      <c r="K29" s="6">
        <v>8412</v>
      </c>
      <c r="L29" s="5">
        <v>4.2986462358380001E-4</v>
      </c>
    </row>
    <row r="30" spans="1:22" x14ac:dyDescent="0.3">
      <c r="A30" t="s">
        <v>37</v>
      </c>
      <c r="B30" s="6">
        <v>5802</v>
      </c>
      <c r="C30" s="6">
        <v>6213</v>
      </c>
      <c r="D30" s="5">
        <v>0.99502688646316495</v>
      </c>
      <c r="E30" s="6">
        <v>6310</v>
      </c>
      <c r="F30" s="5">
        <v>7.6299248030400001E-4</v>
      </c>
      <c r="G30" s="6">
        <v>6117</v>
      </c>
      <c r="H30" s="5">
        <v>5.6119199143719997E-4</v>
      </c>
      <c r="I30" s="6">
        <v>6217</v>
      </c>
      <c r="J30" s="5">
        <v>1.7201523587569999E-4</v>
      </c>
      <c r="K30" s="6">
        <v>4813</v>
      </c>
      <c r="L30" s="5">
        <v>1.653890067245E-4</v>
      </c>
    </row>
    <row r="31" spans="1:22" x14ac:dyDescent="0.3">
      <c r="A31" t="s">
        <v>38</v>
      </c>
      <c r="B31" s="7" t="s">
        <v>41</v>
      </c>
      <c r="C31" s="6">
        <v>406</v>
      </c>
      <c r="D31" s="5">
        <v>0.99155890941619795</v>
      </c>
      <c r="E31" s="6">
        <v>2101</v>
      </c>
      <c r="F31" s="5">
        <v>1.3143144315108E-3</v>
      </c>
      <c r="G31" s="6">
        <v>1904</v>
      </c>
      <c r="H31" s="5">
        <v>1.2813413050024999E-3</v>
      </c>
      <c r="I31" s="6">
        <v>1806</v>
      </c>
      <c r="J31" s="5">
        <v>1.2479164870455E-3</v>
      </c>
      <c r="K31" s="6">
        <v>2208</v>
      </c>
      <c r="L31" s="5">
        <v>7.8611192293459998E-4</v>
      </c>
    </row>
    <row r="32" spans="1:22" x14ac:dyDescent="0.3">
      <c r="A32" t="s">
        <v>39</v>
      </c>
      <c r="B32" s="6">
        <v>8701</v>
      </c>
      <c r="C32" s="6">
        <v>8704</v>
      </c>
      <c r="D32" s="5">
        <v>0.99129348993301403</v>
      </c>
      <c r="E32" s="6">
        <v>8701</v>
      </c>
      <c r="F32" s="5">
        <v>2.5389830116182002E-3</v>
      </c>
      <c r="G32" s="6">
        <v>8705</v>
      </c>
      <c r="H32" s="5">
        <v>9.1429549502200004E-4</v>
      </c>
      <c r="I32" s="6">
        <v>8702</v>
      </c>
      <c r="J32" s="5">
        <v>8.1447261618450002E-4</v>
      </c>
      <c r="K32" s="6">
        <v>8429</v>
      </c>
      <c r="L32" s="5">
        <v>2.4874525843180003E-4</v>
      </c>
    </row>
    <row r="33" spans="1:12" x14ac:dyDescent="0.3">
      <c r="A33" t="s">
        <v>40</v>
      </c>
      <c r="B33" s="6">
        <v>8473</v>
      </c>
      <c r="C33" s="6">
        <v>8443</v>
      </c>
      <c r="D33" s="5">
        <v>0.98961043357849099</v>
      </c>
      <c r="E33" s="6">
        <v>8422</v>
      </c>
      <c r="F33" s="5">
        <v>3.6661429330705998E-3</v>
      </c>
      <c r="G33" s="6">
        <v>8442</v>
      </c>
      <c r="H33" s="5">
        <v>6.3943513669070004E-4</v>
      </c>
      <c r="I33" s="6">
        <v>8477</v>
      </c>
      <c r="J33" s="5">
        <v>6.1685236869370001E-4</v>
      </c>
      <c r="K33" s="6">
        <v>8472</v>
      </c>
      <c r="L33" s="5">
        <v>3.1427355133919999E-4</v>
      </c>
    </row>
    <row r="35" spans="1:12" x14ac:dyDescent="0.3">
      <c r="A35" s="9" t="s">
        <v>69</v>
      </c>
    </row>
    <row r="36" spans="1:12" x14ac:dyDescent="0.3">
      <c r="A36" t="s">
        <v>24</v>
      </c>
      <c r="B36" t="s">
        <v>25</v>
      </c>
      <c r="C36" t="s">
        <v>26</v>
      </c>
      <c r="D36" t="s">
        <v>27</v>
      </c>
      <c r="E36" t="s">
        <v>28</v>
      </c>
      <c r="F36" t="s">
        <v>29</v>
      </c>
      <c r="G36" t="s">
        <v>30</v>
      </c>
      <c r="H36" t="s">
        <v>31</v>
      </c>
      <c r="I36" t="s">
        <v>32</v>
      </c>
      <c r="J36" t="s">
        <v>33</v>
      </c>
      <c r="K36" t="s">
        <v>34</v>
      </c>
      <c r="L36" t="s">
        <v>35</v>
      </c>
    </row>
    <row r="37" spans="1:12" x14ac:dyDescent="0.3">
      <c r="A37" t="s">
        <v>42</v>
      </c>
      <c r="B37" s="8">
        <v>3707</v>
      </c>
      <c r="C37" s="8">
        <v>3811</v>
      </c>
      <c r="D37" s="5">
        <v>2.4026609957218101E-2</v>
      </c>
      <c r="E37" s="6">
        <v>3824</v>
      </c>
      <c r="F37" s="5">
        <v>2.0048456266522401E-2</v>
      </c>
      <c r="G37" s="6">
        <v>3907</v>
      </c>
      <c r="H37" s="5">
        <v>1.9761610776185899E-2</v>
      </c>
      <c r="I37" s="6">
        <v>3506</v>
      </c>
      <c r="J37" s="5">
        <v>1.9287981092929798E-2</v>
      </c>
      <c r="K37" s="6">
        <v>3215</v>
      </c>
      <c r="L37" s="5">
        <v>1.9041217863559699E-2</v>
      </c>
    </row>
    <row r="38" spans="1:12" x14ac:dyDescent="0.3">
      <c r="A38" t="s">
        <v>43</v>
      </c>
      <c r="B38" s="8">
        <v>7117</v>
      </c>
      <c r="C38" s="8">
        <v>6204</v>
      </c>
      <c r="D38" s="5">
        <v>2.81268302351236E-2</v>
      </c>
      <c r="E38" s="6">
        <v>2103</v>
      </c>
      <c r="F38" s="5">
        <v>2.5121619924902899E-2</v>
      </c>
      <c r="G38" s="6">
        <v>6907</v>
      </c>
      <c r="H38" s="5">
        <v>2.39479336887598E-2</v>
      </c>
      <c r="I38" s="6">
        <v>8509</v>
      </c>
      <c r="J38" s="5">
        <v>2.0928833633661201E-2</v>
      </c>
      <c r="K38" s="6">
        <v>8516</v>
      </c>
      <c r="L38" s="5">
        <v>2.07385253161191E-2</v>
      </c>
    </row>
    <row r="39" spans="1:12" x14ac:dyDescent="0.3">
      <c r="A39" t="s">
        <v>44</v>
      </c>
      <c r="B39" s="8">
        <v>4202</v>
      </c>
      <c r="C39" s="8">
        <v>6203</v>
      </c>
      <c r="D39" s="5">
        <v>3.2556645572185502E-2</v>
      </c>
      <c r="E39" s="6">
        <v>2710</v>
      </c>
      <c r="F39" s="5">
        <v>2.8059402480721401E-2</v>
      </c>
      <c r="G39" s="6">
        <v>8544</v>
      </c>
      <c r="H39" s="5">
        <v>2.6146458461880601E-2</v>
      </c>
      <c r="I39" s="6">
        <v>8714</v>
      </c>
      <c r="J39" s="5">
        <v>2.5610571727156601E-2</v>
      </c>
      <c r="K39" s="6">
        <v>6114</v>
      </c>
      <c r="L39" s="5">
        <v>1.94701757282018E-2</v>
      </c>
    </row>
    <row r="40" spans="1:12" x14ac:dyDescent="0.3">
      <c r="A40" t="s">
        <v>45</v>
      </c>
      <c r="B40" s="8">
        <v>6911</v>
      </c>
      <c r="C40" s="8">
        <v>9506</v>
      </c>
      <c r="D40" s="5">
        <v>4.3033927679061799E-2</v>
      </c>
      <c r="E40" s="6">
        <v>7318</v>
      </c>
      <c r="F40" s="5">
        <v>3.31534221768379E-2</v>
      </c>
      <c r="G40" s="6">
        <v>9403</v>
      </c>
      <c r="H40" s="5">
        <v>3.2755084335803902E-2</v>
      </c>
      <c r="I40" s="6">
        <v>6304</v>
      </c>
      <c r="J40" s="5">
        <v>2.85576153546571E-2</v>
      </c>
      <c r="K40" s="6">
        <v>3926</v>
      </c>
      <c r="L40" s="5">
        <v>2.57394202053546E-2</v>
      </c>
    </row>
    <row r="41" spans="1:12" x14ac:dyDescent="0.3">
      <c r="A41" t="s">
        <v>46</v>
      </c>
      <c r="B41" s="8">
        <v>6217</v>
      </c>
      <c r="C41" s="8">
        <v>8421</v>
      </c>
      <c r="D41" s="5">
        <v>4.3645028024911797E-2</v>
      </c>
      <c r="E41" s="6">
        <v>8714</v>
      </c>
      <c r="F41" s="5">
        <v>3.2468508929014199E-2</v>
      </c>
      <c r="G41" s="6">
        <v>3808</v>
      </c>
      <c r="H41" s="5">
        <v>3.1463090330362299E-2</v>
      </c>
      <c r="I41" s="6">
        <v>7323</v>
      </c>
      <c r="J41" s="5">
        <v>2.8451692312955801E-2</v>
      </c>
      <c r="K41" s="6">
        <v>8516</v>
      </c>
      <c r="L41" s="5">
        <v>2.5420594960451098E-2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A2228-5F3E-4726-9F09-7E28AFDA41B3}">
  <dimension ref="A1:S14"/>
  <sheetViews>
    <sheetView topLeftCell="J1" workbookViewId="0">
      <selection activeCell="M4" sqref="M4:S12"/>
    </sheetView>
  </sheetViews>
  <sheetFormatPr baseColWidth="10" defaultRowHeight="14.4" x14ac:dyDescent="0.3"/>
  <cols>
    <col min="1" max="1" width="28.109375" bestFit="1" customWidth="1"/>
    <col min="2" max="2" width="11.6640625" bestFit="1" customWidth="1"/>
    <col min="6" max="6" width="8.33203125" bestFit="1" customWidth="1"/>
    <col min="7" max="7" width="7.33203125" bestFit="1" customWidth="1"/>
    <col min="8" max="8" width="8.33203125" bestFit="1" customWidth="1"/>
    <col min="9" max="9" width="7.33203125" bestFit="1" customWidth="1"/>
    <col min="10" max="10" width="8.33203125" bestFit="1" customWidth="1"/>
    <col min="11" max="11" width="7.33203125" bestFit="1" customWidth="1"/>
    <col min="13" max="13" width="29.6640625" bestFit="1" customWidth="1"/>
    <col min="14" max="14" width="7.21875" bestFit="1" customWidth="1"/>
    <col min="15" max="15" width="6.5546875" bestFit="1" customWidth="1"/>
    <col min="16" max="16" width="7.21875" bestFit="1" customWidth="1"/>
    <col min="17" max="17" width="6.5546875" bestFit="1" customWidth="1"/>
    <col min="18" max="18" width="7.21875" bestFit="1" customWidth="1"/>
    <col min="19" max="19" width="6.5546875" bestFit="1" customWidth="1"/>
  </cols>
  <sheetData>
    <row r="1" spans="1:19" x14ac:dyDescent="0.3">
      <c r="A1" s="9" t="s">
        <v>91</v>
      </c>
      <c r="E1" s="9" t="s">
        <v>104</v>
      </c>
    </row>
    <row r="2" spans="1:19" x14ac:dyDescent="0.3">
      <c r="A2" s="12" t="s">
        <v>78</v>
      </c>
      <c r="B2" t="s">
        <v>89</v>
      </c>
      <c r="C2" t="s">
        <v>87</v>
      </c>
    </row>
    <row r="3" spans="1:19" x14ac:dyDescent="0.3">
      <c r="A3" s="12"/>
      <c r="B3" t="s">
        <v>79</v>
      </c>
      <c r="C3" t="s">
        <v>79</v>
      </c>
      <c r="F3" t="s">
        <v>80</v>
      </c>
      <c r="G3" t="s">
        <v>87</v>
      </c>
      <c r="H3" t="s">
        <v>80</v>
      </c>
      <c r="I3" t="s">
        <v>87</v>
      </c>
      <c r="J3" t="s">
        <v>80</v>
      </c>
      <c r="K3" t="s">
        <v>87</v>
      </c>
      <c r="N3" t="s">
        <v>80</v>
      </c>
      <c r="O3" t="s">
        <v>87</v>
      </c>
      <c r="P3" t="s">
        <v>80</v>
      </c>
      <c r="Q3" t="s">
        <v>87</v>
      </c>
      <c r="R3" t="s">
        <v>80</v>
      </c>
      <c r="S3" t="s">
        <v>87</v>
      </c>
    </row>
    <row r="4" spans="1:19" x14ac:dyDescent="0.3">
      <c r="A4" t="s">
        <v>29</v>
      </c>
      <c r="B4">
        <v>100</v>
      </c>
      <c r="C4">
        <v>100</v>
      </c>
      <c r="F4" t="s">
        <v>99</v>
      </c>
      <c r="G4" t="s">
        <v>103</v>
      </c>
      <c r="H4" t="s">
        <v>99</v>
      </c>
      <c r="I4" t="s">
        <v>103</v>
      </c>
      <c r="J4" t="s">
        <v>99</v>
      </c>
      <c r="K4" t="s">
        <v>103</v>
      </c>
      <c r="M4" s="12" t="s">
        <v>115</v>
      </c>
      <c r="N4" s="11" t="s">
        <v>100</v>
      </c>
      <c r="O4" s="11"/>
      <c r="P4" s="11" t="s">
        <v>101</v>
      </c>
      <c r="Q4" s="11"/>
      <c r="R4" s="11" t="s">
        <v>102</v>
      </c>
      <c r="S4" s="11"/>
    </row>
    <row r="5" spans="1:19" x14ac:dyDescent="0.3">
      <c r="A5" t="s">
        <v>31</v>
      </c>
      <c r="B5">
        <v>100</v>
      </c>
      <c r="C5">
        <v>100</v>
      </c>
      <c r="E5" s="12" t="s">
        <v>105</v>
      </c>
      <c r="F5" s="11" t="s">
        <v>100</v>
      </c>
      <c r="G5" s="11"/>
      <c r="H5" s="11" t="s">
        <v>101</v>
      </c>
      <c r="I5" s="11"/>
      <c r="J5" s="11" t="s">
        <v>102</v>
      </c>
      <c r="K5" s="11"/>
      <c r="M5" s="12"/>
      <c r="N5" t="s">
        <v>80</v>
      </c>
      <c r="O5" t="s">
        <v>87</v>
      </c>
      <c r="P5" t="s">
        <v>80</v>
      </c>
      <c r="Q5" t="s">
        <v>87</v>
      </c>
      <c r="R5" t="s">
        <v>80</v>
      </c>
      <c r="S5" t="s">
        <v>87</v>
      </c>
    </row>
    <row r="6" spans="1:19" x14ac:dyDescent="0.3">
      <c r="A6" t="s">
        <v>35</v>
      </c>
      <c r="B6">
        <v>100</v>
      </c>
      <c r="C6">
        <v>100</v>
      </c>
      <c r="E6" s="12"/>
      <c r="F6" t="s">
        <v>80</v>
      </c>
      <c r="G6" t="s">
        <v>87</v>
      </c>
      <c r="H6" t="s">
        <v>80</v>
      </c>
      <c r="I6" t="s">
        <v>87</v>
      </c>
      <c r="J6" t="s">
        <v>80</v>
      </c>
      <c r="K6" t="s">
        <v>87</v>
      </c>
      <c r="M6" t="s">
        <v>108</v>
      </c>
      <c r="N6" t="s">
        <v>106</v>
      </c>
      <c r="O6" t="s">
        <v>107</v>
      </c>
      <c r="P6" t="s">
        <v>106</v>
      </c>
      <c r="Q6" t="s">
        <v>107</v>
      </c>
      <c r="R6" t="s">
        <v>106</v>
      </c>
      <c r="S6" t="s">
        <v>107</v>
      </c>
    </row>
    <row r="7" spans="1:19" x14ac:dyDescent="0.3">
      <c r="A7" t="s">
        <v>81</v>
      </c>
      <c r="B7">
        <v>100</v>
      </c>
      <c r="C7">
        <v>100</v>
      </c>
      <c r="E7" t="s">
        <v>93</v>
      </c>
      <c r="F7" s="15">
        <v>1.9543270716496099</v>
      </c>
      <c r="G7" s="15">
        <v>1.03470905004197</v>
      </c>
      <c r="H7" s="15">
        <v>1.9658046197891199</v>
      </c>
      <c r="I7" s="15">
        <v>1.03887927532196</v>
      </c>
      <c r="J7" s="15">
        <v>2.0123508548214302</v>
      </c>
      <c r="K7" s="15">
        <v>1.05779593077583</v>
      </c>
      <c r="M7" t="s">
        <v>109</v>
      </c>
      <c r="N7" s="13">
        <v>68.096500011436703</v>
      </c>
      <c r="O7" s="13">
        <v>67.851595414976799</v>
      </c>
      <c r="P7" s="13">
        <v>67.354176088176899</v>
      </c>
      <c r="Q7" s="13">
        <v>67.478935641377106</v>
      </c>
      <c r="R7" s="13">
        <v>66.709511143386095</v>
      </c>
      <c r="S7" s="13">
        <v>66.951003673739294</v>
      </c>
    </row>
    <row r="8" spans="1:19" x14ac:dyDescent="0.3">
      <c r="A8" t="s">
        <v>82</v>
      </c>
      <c r="B8">
        <v>100</v>
      </c>
      <c r="C8">
        <v>100</v>
      </c>
      <c r="E8" t="s">
        <v>94</v>
      </c>
      <c r="F8" s="15">
        <v>6.4080356414560904E-2</v>
      </c>
      <c r="G8" s="15">
        <v>3.7509616018333698E-2</v>
      </c>
      <c r="H8" s="15">
        <v>7.2813008807441501E-2</v>
      </c>
      <c r="I8" s="15">
        <v>4.0031905709852697E-2</v>
      </c>
      <c r="J8" s="15">
        <v>7.8819641742159302E-2</v>
      </c>
      <c r="K8" s="15">
        <v>4.0131587988984703E-2</v>
      </c>
      <c r="M8" t="s">
        <v>110</v>
      </c>
      <c r="N8" s="13">
        <v>68.577012135583701</v>
      </c>
      <c r="O8" s="13">
        <v>69.0737969033338</v>
      </c>
      <c r="P8" s="13">
        <v>70.721153577904801</v>
      </c>
      <c r="Q8" s="13">
        <v>70.336267261821703</v>
      </c>
      <c r="R8" s="13">
        <v>70.702231831496704</v>
      </c>
      <c r="S8" s="13">
        <v>70.351088017854593</v>
      </c>
    </row>
    <row r="9" spans="1:19" x14ac:dyDescent="0.3">
      <c r="A9" t="s">
        <v>83</v>
      </c>
      <c r="B9">
        <v>100</v>
      </c>
      <c r="C9">
        <v>100</v>
      </c>
      <c r="E9" t="s">
        <v>95</v>
      </c>
      <c r="F9" s="15">
        <v>3.0342522453098102</v>
      </c>
      <c r="G9" s="15">
        <v>1.5273457934372801</v>
      </c>
      <c r="H9" s="15">
        <v>3.0871103046005399</v>
      </c>
      <c r="I9" s="15">
        <v>1.5533418180013701</v>
      </c>
      <c r="J9" s="15">
        <v>3.2093770147730698</v>
      </c>
      <c r="K9" s="15">
        <v>1.61394497035163</v>
      </c>
      <c r="M9" t="s">
        <v>111</v>
      </c>
      <c r="N9" s="13">
        <v>93.817579624383697</v>
      </c>
      <c r="O9" s="13">
        <v>93.540654717597604</v>
      </c>
      <c r="P9" s="13">
        <v>92.858878136563106</v>
      </c>
      <c r="Q9" s="13">
        <v>93.020333840210796</v>
      </c>
      <c r="R9" s="13">
        <v>92.393859478170299</v>
      </c>
      <c r="S9" s="13">
        <v>92.6373330649281</v>
      </c>
    </row>
    <row r="10" spans="1:19" x14ac:dyDescent="0.3">
      <c r="A10" t="s">
        <v>33</v>
      </c>
      <c r="B10">
        <v>98</v>
      </c>
      <c r="C10">
        <v>98</v>
      </c>
      <c r="E10" t="s">
        <v>96</v>
      </c>
      <c r="F10" s="15">
        <v>9.4986634091254393E-2</v>
      </c>
      <c r="G10" s="15">
        <v>5.1272669102016603E-2</v>
      </c>
      <c r="H10" s="15">
        <v>0.108407152584933</v>
      </c>
      <c r="I10" s="15">
        <v>5.5065830859810802E-2</v>
      </c>
      <c r="J10" s="15">
        <v>0.117973263490362</v>
      </c>
      <c r="K10" s="15">
        <v>5.8541742362924601E-2</v>
      </c>
      <c r="M10" t="s">
        <v>112</v>
      </c>
      <c r="N10" s="14">
        <v>9.9923599284707905</v>
      </c>
      <c r="O10" s="14">
        <v>9.7154350216846694</v>
      </c>
      <c r="P10" s="14">
        <v>9.03365844065023</v>
      </c>
      <c r="Q10" s="14">
        <v>9.1951141442979001</v>
      </c>
      <c r="R10" s="14">
        <v>8.5686397822573994</v>
      </c>
      <c r="S10" s="14">
        <v>8.8121133690152007</v>
      </c>
    </row>
    <row r="11" spans="1:19" x14ac:dyDescent="0.3">
      <c r="A11" t="s">
        <v>84</v>
      </c>
      <c r="B11">
        <v>84</v>
      </c>
      <c r="C11">
        <v>82</v>
      </c>
      <c r="E11" t="s">
        <v>97</v>
      </c>
      <c r="F11" s="15">
        <v>0.30176378930599901</v>
      </c>
      <c r="G11" s="15">
        <v>0.33988278261736199</v>
      </c>
      <c r="H11" s="15">
        <v>0.27704298973083402</v>
      </c>
      <c r="I11" s="15">
        <v>0.31713037848472497</v>
      </c>
      <c r="J11" s="15">
        <v>0.21854075451651001</v>
      </c>
      <c r="K11" s="15">
        <v>0.26276480985119599</v>
      </c>
      <c r="M11" t="s">
        <v>113</v>
      </c>
      <c r="N11" s="13">
        <v>76.737790327712304</v>
      </c>
      <c r="O11" s="13">
        <v>77.063106506522402</v>
      </c>
      <c r="P11" s="13">
        <v>78.333111279032707</v>
      </c>
      <c r="Q11" s="13">
        <v>78.043360244988804</v>
      </c>
      <c r="R11" s="13">
        <v>77.918698297804596</v>
      </c>
      <c r="S11" s="13">
        <v>77.731218183264403</v>
      </c>
    </row>
    <row r="12" spans="1:19" x14ac:dyDescent="0.3">
      <c r="A12" t="s">
        <v>85</v>
      </c>
      <c r="B12">
        <v>80</v>
      </c>
      <c r="C12">
        <v>80</v>
      </c>
      <c r="E12" t="s">
        <v>98</v>
      </c>
      <c r="F12" s="15">
        <v>4.3691273876656299E-2</v>
      </c>
      <c r="G12" s="15">
        <v>4.4086541146644301E-2</v>
      </c>
      <c r="H12" s="15">
        <v>5.0914389709494301E-2</v>
      </c>
      <c r="I12" s="15">
        <v>4.81667620105556E-2</v>
      </c>
      <c r="J12" s="15">
        <v>5.7559698403956902E-2</v>
      </c>
      <c r="K12" s="15">
        <v>5.3236748568107298E-2</v>
      </c>
      <c r="M12" t="s">
        <v>114</v>
      </c>
      <c r="N12" s="13">
        <v>73.710772520716304</v>
      </c>
      <c r="O12" s="13">
        <v>72.328521785618804</v>
      </c>
      <c r="P12" s="13">
        <v>68.7206629243517</v>
      </c>
      <c r="Q12" s="13">
        <v>69.603314621758898</v>
      </c>
      <c r="R12" s="13">
        <v>66.693130179096499</v>
      </c>
      <c r="S12" s="13">
        <v>67.894413258487006</v>
      </c>
    </row>
    <row r="13" spans="1:19" x14ac:dyDescent="0.3">
      <c r="A13" t="s">
        <v>88</v>
      </c>
      <c r="B13" t="s">
        <v>90</v>
      </c>
      <c r="C13">
        <v>58</v>
      </c>
      <c r="G13">
        <v>10</v>
      </c>
      <c r="H13">
        <v>10</v>
      </c>
      <c r="I13">
        <v>10</v>
      </c>
      <c r="J13">
        <v>10</v>
      </c>
      <c r="K13">
        <v>10</v>
      </c>
      <c r="N13" s="14"/>
      <c r="O13" s="14"/>
      <c r="P13" s="14"/>
      <c r="Q13" s="14"/>
      <c r="R13" s="14"/>
      <c r="S13" s="14"/>
    </row>
    <row r="14" spans="1:19" x14ac:dyDescent="0.3">
      <c r="A14" t="s">
        <v>86</v>
      </c>
      <c r="B14">
        <v>54</v>
      </c>
      <c r="C14" t="s">
        <v>90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</sheetData>
  <mergeCells count="9">
    <mergeCell ref="A2:A3"/>
    <mergeCell ref="F5:G5"/>
    <mergeCell ref="H5:I5"/>
    <mergeCell ref="J5:K5"/>
    <mergeCell ref="E5:E6"/>
    <mergeCell ref="R4:S4"/>
    <mergeCell ref="P4:Q4"/>
    <mergeCell ref="N4:O4"/>
    <mergeCell ref="M4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doc2vec</vt:lpstr>
      <vt:lpstr>fasttext</vt:lpstr>
      <vt:lpstr>distilbert</vt:lpstr>
      <vt:lpstr>error</vt:lpstr>
      <vt:lpstr>scoring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Tedoldi</dc:creator>
  <cp:lastModifiedBy>Santiago Tedoldi</cp:lastModifiedBy>
  <dcterms:created xsi:type="dcterms:W3CDTF">2026-03-21T12:51:28Z</dcterms:created>
  <dcterms:modified xsi:type="dcterms:W3CDTF">2026-04-12T17:18:33Z</dcterms:modified>
</cp:coreProperties>
</file>